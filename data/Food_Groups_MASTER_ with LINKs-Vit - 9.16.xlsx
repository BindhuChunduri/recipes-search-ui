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33" documentId="8_{1E2FBD86-3332-4247-A710-ACFA3E9741D6}" xr6:coauthVersionLast="47" xr6:coauthVersionMax="47" xr10:uidLastSave="{2D4D3F5E-53D2-49B8-9478-13F436CC5BA0}"/>
  <bookViews>
    <workbookView xWindow="-108" yWindow="-108" windowWidth="23256" windowHeight="13896" xr2:uid="{00000000-000D-0000-FFFF-FFFF00000000}"/>
  </bookViews>
  <sheets>
    <sheet name="Fruits (35)" sheetId="1" r:id="rId1"/>
    <sheet name="Vegetables (35)" sheetId="2" r:id="rId2"/>
    <sheet name="Beans &amp; Lentils (35)" sheetId="3" r:id="rId3"/>
    <sheet name="Meats (35)" sheetId="5" r:id="rId4"/>
    <sheet name="Carbs-Grains (35)" sheetId="6" r:id="rId5"/>
    <sheet name="Sources &amp; 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<sst xmlns="http://schemas.openxmlformats.org/spreadsheetml/2006/main" count="1522" uniqueCount="673">
  <si>
    <t>Food</t>
  </si>
  <si>
    <t>Food Group</t>
  </si>
  <si>
    <t>Cuisine Example</t>
  </si>
  <si>
    <t>Key Nutrient(s)</t>
  </si>
  <si>
    <t>Carbs (g/100 g)</t>
  </si>
  <si>
    <t>Protein (g/100 g)</t>
  </si>
  <si>
    <t>Fat (g/100 g)</t>
  </si>
  <si>
    <t>Fiber (g/100 g)</t>
  </si>
  <si>
    <t>Calories (kcal/100 g) – Formula</t>
  </si>
  <si>
    <t>Calories (USDA kcal/100 g)</t>
  </si>
  <si>
    <t>USDA FDC Link</t>
  </si>
  <si>
    <t>Apple</t>
  </si>
  <si>
    <t>Fruit</t>
  </si>
  <si>
    <t>American/European</t>
  </si>
  <si>
    <t>Vitamin C, Fiber</t>
  </si>
  <si>
    <t>FDC Link</t>
  </si>
  <si>
    <t>Banana</t>
  </si>
  <si>
    <t>American</t>
  </si>
  <si>
    <t>Potassium, Vitamin B6</t>
  </si>
  <si>
    <t>Orange</t>
  </si>
  <si>
    <t>Vitamin C, Folate</t>
  </si>
  <si>
    <t>Strawberry</t>
  </si>
  <si>
    <t>Vitamin C, Antioxidants</t>
  </si>
  <si>
    <t>Blueberry</t>
  </si>
  <si>
    <t>Vitamin K, Antioxidants</t>
  </si>
  <si>
    <t>Grapes</t>
  </si>
  <si>
    <t>Italian/Mediterranean</t>
  </si>
  <si>
    <t>Pineapple</t>
  </si>
  <si>
    <t>American/Asian</t>
  </si>
  <si>
    <t>Vitamin C, Manganese</t>
  </si>
  <si>
    <t>Mango</t>
  </si>
  <si>
    <t>Indian</t>
  </si>
  <si>
    <t>Vitamin A, Vitamin C</t>
  </si>
  <si>
    <t>Kiwi</t>
  </si>
  <si>
    <t>NZ/Japanese</t>
  </si>
  <si>
    <t>Pear</t>
  </si>
  <si>
    <t>Fiber, Vitamin C</t>
  </si>
  <si>
    <t>Peach</t>
  </si>
  <si>
    <t>Vitamin C, Vitamin A</t>
  </si>
  <si>
    <t>Cherry</t>
  </si>
  <si>
    <t>Antioxidants, Vitamin C</t>
  </si>
  <si>
    <t>Watermelon</t>
  </si>
  <si>
    <t>Lycopene, Vitamin A</t>
  </si>
  <si>
    <t>Cantaloupe</t>
  </si>
  <si>
    <t>Honeydew</t>
  </si>
  <si>
    <t>Vitamin C, Potassium</t>
  </si>
  <si>
    <t>Plum</t>
  </si>
  <si>
    <t>Apricot</t>
  </si>
  <si>
    <t>Mediterranean</t>
  </si>
  <si>
    <t>Vitamin A, Potassium</t>
  </si>
  <si>
    <t>Grapefruit</t>
  </si>
  <si>
    <t>Vitamin C</t>
  </si>
  <si>
    <t>Pomegranate</t>
  </si>
  <si>
    <t>Indian/Middle Eastern</t>
  </si>
  <si>
    <t>Mandarin</t>
  </si>
  <si>
    <t>Chinese</t>
  </si>
  <si>
    <t>Avocado</t>
  </si>
  <si>
    <t>Mexican/American</t>
  </si>
  <si>
    <t>Healthy fats, Vitamin K</t>
  </si>
  <si>
    <t>Guava</t>
  </si>
  <si>
    <t>Indian/Asian</t>
  </si>
  <si>
    <t>Papaya</t>
  </si>
  <si>
    <t>Lychee</t>
  </si>
  <si>
    <t>Vitamin C, Copper</t>
  </si>
  <si>
    <t>Persimmon</t>
  </si>
  <si>
    <t>Japanese</t>
  </si>
  <si>
    <t>Dragon Fruit (Pitaya)</t>
  </si>
  <si>
    <t>SE Asian</t>
  </si>
  <si>
    <t>Jackfruit</t>
  </si>
  <si>
    <t>Indian/SE Asian</t>
  </si>
  <si>
    <t>Durian</t>
  </si>
  <si>
    <t>Soursop (Guanábana)</t>
  </si>
  <si>
    <t>Caribbean</t>
  </si>
  <si>
    <t>Passionfruit</t>
  </si>
  <si>
    <t>Brazilian/Asian</t>
  </si>
  <si>
    <t>Starfruit (Carambola)</t>
  </si>
  <si>
    <t>Asian</t>
  </si>
  <si>
    <t>Longan</t>
  </si>
  <si>
    <t>Vitamin C, Iron</t>
  </si>
  <si>
    <t>Rambutan</t>
  </si>
  <si>
    <t>Acerola Cherry</t>
  </si>
  <si>
    <t>Breadfruit</t>
  </si>
  <si>
    <t>Pacific/Caribbean</t>
  </si>
  <si>
    <t>Carbs, Vitamin C</t>
  </si>
  <si>
    <t>Spinach</t>
  </si>
  <si>
    <t>Vegetable</t>
  </si>
  <si>
    <t>Mediterranean/Indian</t>
  </si>
  <si>
    <t>Vitamin K, Vitamin A, Iron</t>
  </si>
  <si>
    <t>Kale</t>
  </si>
  <si>
    <t>Vitamin C, Vitamin K</t>
  </si>
  <si>
    <t>Broccoli</t>
  </si>
  <si>
    <t>Vitamin C, Vitamin K, Fiber</t>
  </si>
  <si>
    <t>Carrot</t>
  </si>
  <si>
    <t>Beta-carotene (Vitamin A), Fiber</t>
  </si>
  <si>
    <t>Sweet Potato</t>
  </si>
  <si>
    <t>Vitamin A, Fiber</t>
  </si>
  <si>
    <t>Potato</t>
  </si>
  <si>
    <t>Potassium, Vitamin C</t>
  </si>
  <si>
    <t>Cauliflower</t>
  </si>
  <si>
    <t>Bell Pepper</t>
  </si>
  <si>
    <t>Tomato</t>
  </si>
  <si>
    <t>Italian</t>
  </si>
  <si>
    <t>Vitamin C, Lycopene</t>
  </si>
  <si>
    <t>Onion</t>
  </si>
  <si>
    <t>Garlic</t>
  </si>
  <si>
    <t>Italian/Chinese</t>
  </si>
  <si>
    <t>Allicin, Vitamin C</t>
  </si>
  <si>
    <t>Mushroom</t>
  </si>
  <si>
    <t>Vitamin D, B Vitamins</t>
  </si>
  <si>
    <t>Cabbage</t>
  </si>
  <si>
    <t>Vitamin K, Vitamin C</t>
  </si>
  <si>
    <t>Brussels Sprouts</t>
  </si>
  <si>
    <t>European</t>
  </si>
  <si>
    <t>Asparagus</t>
  </si>
  <si>
    <t>Vitamin K, Folate</t>
  </si>
  <si>
    <t>Zucchini</t>
  </si>
  <si>
    <t>Eggplant</t>
  </si>
  <si>
    <t>Italian/Indian</t>
  </si>
  <si>
    <t>Fiber, Potassium</t>
  </si>
  <si>
    <t>Green Beans</t>
  </si>
  <si>
    <t>Bok Choy</t>
  </si>
  <si>
    <t>Vitamin A, Vitamin C, Calcium</t>
  </si>
  <si>
    <t>Napa Cabbage</t>
  </si>
  <si>
    <t>Okra (Lady's Fingers)</t>
  </si>
  <si>
    <t>Indian/African</t>
  </si>
  <si>
    <t>Seaweed (Nori)</t>
  </si>
  <si>
    <t>Iodine, Vitamin K</t>
  </si>
  <si>
    <t>Daikon Radish</t>
  </si>
  <si>
    <t>Lotus Root</t>
  </si>
  <si>
    <t>Chinese/Japanese</t>
  </si>
  <si>
    <t>Jicama</t>
  </si>
  <si>
    <t>Mexican</t>
  </si>
  <si>
    <t>Tindora (Ivy Gourd)</t>
  </si>
  <si>
    <t>Bitter Melon (Karela)</t>
  </si>
  <si>
    <t>Indian/Chinese</t>
  </si>
  <si>
    <t>Drumstick (Moringa Pods)</t>
  </si>
  <si>
    <t>Vitamin C, Calcium</t>
  </si>
  <si>
    <t>Taro Root (Arbi)</t>
  </si>
  <si>
    <t>Indian/Pacific</t>
  </si>
  <si>
    <t>Carbs, Fiber</t>
  </si>
  <si>
    <t>Yam (African White Yam)</t>
  </si>
  <si>
    <t>West African</t>
  </si>
  <si>
    <t>Chayote</t>
  </si>
  <si>
    <t>Latin American</t>
  </si>
  <si>
    <t>Water Spinach (Kang Kong)</t>
  </si>
  <si>
    <t>Vitamin A, Iron</t>
  </si>
  <si>
    <t>Mustard Greens</t>
  </si>
  <si>
    <t>Fennel (Bulb)</t>
  </si>
  <si>
    <t>Bamboo Shoots</t>
  </si>
  <si>
    <t>Chickpeas (Garbanzo)</t>
  </si>
  <si>
    <t>Beans/Lentils</t>
  </si>
  <si>
    <t>Protein, Fiber</t>
  </si>
  <si>
    <t>Black Beans</t>
  </si>
  <si>
    <t>Pinto Beans</t>
  </si>
  <si>
    <t>Kidney Beans</t>
  </si>
  <si>
    <t>Cannellini (White Kidney)</t>
  </si>
  <si>
    <t>Brown Lentils</t>
  </si>
  <si>
    <t>Indian/Mediterranean</t>
  </si>
  <si>
    <t>Red Lentils</t>
  </si>
  <si>
    <t>Green Lentils</t>
  </si>
  <si>
    <t>Split Peas (Green)</t>
  </si>
  <si>
    <t>Black-eyed Peas</t>
  </si>
  <si>
    <t>American/African</t>
  </si>
  <si>
    <t>Fava Beans</t>
  </si>
  <si>
    <t>Adzuki Beans</t>
  </si>
  <si>
    <t>Mung Beans</t>
  </si>
  <si>
    <t>Soybeans (Edamame)</t>
  </si>
  <si>
    <t>Japanese/Chinese</t>
  </si>
  <si>
    <t>Protein, Iron</t>
  </si>
  <si>
    <t>Urad Dal (Black Gram)</t>
  </si>
  <si>
    <t>Toor Dal (Pigeon Peas)</t>
  </si>
  <si>
    <t>Moong Dal (Split Mung)</t>
  </si>
  <si>
    <t>Masoor Dal (Split Red)</t>
  </si>
  <si>
    <t>Rajma (Kidney, Indian)</t>
  </si>
  <si>
    <t>Navy Beans</t>
  </si>
  <si>
    <t>Lima Beans</t>
  </si>
  <si>
    <t>Great Northern Beans</t>
  </si>
  <si>
    <t>Chana Dal (Split Chickpeas)</t>
  </si>
  <si>
    <t>Tempeh (Soy)</t>
  </si>
  <si>
    <t>Indonesian</t>
  </si>
  <si>
    <t>Protein, Probiotics</t>
  </si>
  <si>
    <t>Tofu (Soy)</t>
  </si>
  <si>
    <t>Protein, Calcium</t>
  </si>
  <si>
    <t>Bambara Groundnut</t>
  </si>
  <si>
    <t>African</t>
  </si>
  <si>
    <t>Tepary Bean</t>
  </si>
  <si>
    <t>Mexican/Southwestern US</t>
  </si>
  <si>
    <t>Lupin Bean</t>
  </si>
  <si>
    <t>Cranberry (Borlotti) Bean</t>
  </si>
  <si>
    <t>Yellow Split Peas</t>
  </si>
  <si>
    <t>Horse Gram</t>
  </si>
  <si>
    <t>Moth Beans</t>
  </si>
  <si>
    <t>Winged Bean</t>
  </si>
  <si>
    <t>Scarlet Runner Bean</t>
  </si>
  <si>
    <t>Yellow Eye Bean</t>
  </si>
  <si>
    <t>Notes</t>
  </si>
  <si>
    <t>Link</t>
  </si>
  <si>
    <t>USDA FoodData Central is the primary citation source for per-100 g values.</t>
  </si>
  <si>
    <t>Values are 'as is' (raw/cooked/dry depending on USDA entry). Keep consistent when adding more.</t>
  </si>
  <si>
    <t>Two calorie columns are included: Formula (4*Carbs + 4*Protein + 9*Fat) and USDA kcal/100 g.</t>
  </si>
  <si>
    <t>https://fdc.nal.usda.gov/</t>
  </si>
  <si>
    <t>Cite sheet-level sources: USDA MyPlate for group info; FDC for item-level values.</t>
  </si>
  <si>
    <t>https://www.myplate.gov/</t>
  </si>
  <si>
    <t>Chicken Breast</t>
  </si>
  <si>
    <t>Meat</t>
  </si>
  <si>
    <t>Protein, B Vitamins</t>
  </si>
  <si>
    <t>Chicken Thigh</t>
  </si>
  <si>
    <t>Turkey</t>
  </si>
  <si>
    <t>Beef Steak</t>
  </si>
  <si>
    <t>Ground Beef</t>
  </si>
  <si>
    <t>Pork Chop</t>
  </si>
  <si>
    <t>Bacon</t>
  </si>
  <si>
    <t>Protein, Fat</t>
  </si>
  <si>
    <t>Ham</t>
  </si>
  <si>
    <t>Protein, Sodium</t>
  </si>
  <si>
    <t>Sausage</t>
  </si>
  <si>
    <t>German/Italian</t>
  </si>
  <si>
    <t>Lamb</t>
  </si>
  <si>
    <t>Goat</t>
  </si>
  <si>
    <t>Duck</t>
  </si>
  <si>
    <t>Salmon</t>
  </si>
  <si>
    <t>Omega-3, Protein</t>
  </si>
  <si>
    <t>Tuna</t>
  </si>
  <si>
    <t>Protein, Omega-3</t>
  </si>
  <si>
    <t>Shrimp</t>
  </si>
  <si>
    <t>American/Chinese</t>
  </si>
  <si>
    <t>Protein, Iodine</t>
  </si>
  <si>
    <t>Crab</t>
  </si>
  <si>
    <t>Protein, Zinc</t>
  </si>
  <si>
    <t>Lobster</t>
  </si>
  <si>
    <t>Protein, Copper</t>
  </si>
  <si>
    <t>Cod</t>
  </si>
  <si>
    <t>Protein, Vitamin B12</t>
  </si>
  <si>
    <t>Tilapia</t>
  </si>
  <si>
    <t>Trout</t>
  </si>
  <si>
    <t>Sardines</t>
  </si>
  <si>
    <t>Omega-3, Calcium</t>
  </si>
  <si>
    <t>Mackerel</t>
  </si>
  <si>
    <t>Omega-3, Vitamin D</t>
  </si>
  <si>
    <t>Anchovies</t>
  </si>
  <si>
    <t>Omega-3, Sodium</t>
  </si>
  <si>
    <t>Scallops</t>
  </si>
  <si>
    <t>Mussels</t>
  </si>
  <si>
    <t>Quail</t>
  </si>
  <si>
    <t>European/Asian</t>
  </si>
  <si>
    <t>Rabbit</t>
  </si>
  <si>
    <t>Venison</t>
  </si>
  <si>
    <t>Bison</t>
  </si>
  <si>
    <t>Pheasant</t>
  </si>
  <si>
    <t>Goose</t>
  </si>
  <si>
    <t>Chinese/European</t>
  </si>
  <si>
    <t>Pork Belly</t>
  </si>
  <si>
    <t>Prosciutto</t>
  </si>
  <si>
    <t>Salami</t>
  </si>
  <si>
    <t>Octopus</t>
  </si>
  <si>
    <t>Japanese/Mediterranean</t>
  </si>
  <si>
    <t>Herring</t>
  </si>
  <si>
    <t>Nordic/European</t>
  </si>
  <si>
    <t>White Rice</t>
  </si>
  <si>
    <t>Carbs/Grains</t>
  </si>
  <si>
    <t>Carbohydrates</t>
  </si>
  <si>
    <t>Brown Rice</t>
  </si>
  <si>
    <t>Carbohydrates, Fiber</t>
  </si>
  <si>
    <t>Basmati Rice</t>
  </si>
  <si>
    <t>Jasmine Rice</t>
  </si>
  <si>
    <t>Arborio Rice (Risotto)</t>
  </si>
  <si>
    <t>Spaghetti</t>
  </si>
  <si>
    <t>Carbohydrates (enriched folate)</t>
  </si>
  <si>
    <t>Penne</t>
  </si>
  <si>
    <t>Macaroni</t>
  </si>
  <si>
    <t>Italian/American</t>
  </si>
  <si>
    <t>Lasagna Noodles</t>
  </si>
  <si>
    <t>White Bread</t>
  </si>
  <si>
    <t>Whole Wheat Bread</t>
  </si>
  <si>
    <t>Sourdough Bread</t>
  </si>
  <si>
    <t>Rye Bread</t>
  </si>
  <si>
    <t>Naan</t>
  </si>
  <si>
    <t>Carbohydrates, Protein</t>
  </si>
  <si>
    <t>Corn Tortilla</t>
  </si>
  <si>
    <t>Flour Tortilla</t>
  </si>
  <si>
    <t>Pita Bread</t>
  </si>
  <si>
    <t>Middle Eastern</t>
  </si>
  <si>
    <t>Bagel</t>
  </si>
  <si>
    <t>Croissant</t>
  </si>
  <si>
    <t>French</t>
  </si>
  <si>
    <t>Carbohydrates, Fat</t>
  </si>
  <si>
    <t>Baguette</t>
  </si>
  <si>
    <t>Quinoa</t>
  </si>
  <si>
    <t>South American</t>
  </si>
  <si>
    <t>Couscous</t>
  </si>
  <si>
    <t>North African</t>
  </si>
  <si>
    <t>Oats/Oatmeal</t>
  </si>
  <si>
    <t>Barley</t>
  </si>
  <si>
    <t>Middle Eastern/European</t>
  </si>
  <si>
    <t>Millet</t>
  </si>
  <si>
    <t>African/Indian</t>
  </si>
  <si>
    <t>Buckwheat (Kasha/Soba)</t>
  </si>
  <si>
    <t>Japanese/Eastern European</t>
  </si>
  <si>
    <t>Udon Noodles</t>
  </si>
  <si>
    <t>Soba Noodles</t>
  </si>
  <si>
    <t>Rice Noodles</t>
  </si>
  <si>
    <t>Chinese/SE Asian</t>
  </si>
  <si>
    <t>Polenta (Cornmeal)</t>
  </si>
  <si>
    <t>Grits</t>
  </si>
  <si>
    <t>American (Southern)</t>
  </si>
  <si>
    <t>Paratha</t>
  </si>
  <si>
    <t>Chapati/Roti</t>
  </si>
  <si>
    <t>Injera (Teff Flatbread)</t>
  </si>
  <si>
    <t>Ethiopian</t>
  </si>
  <si>
    <t>Matzo</t>
  </si>
  <si>
    <t>Jewish/Israeli</t>
  </si>
  <si>
    <t>U.S. Department of Agriculture, Agricultural Research Service. *FoodData Central*. 2019, https://fdc.nal.usda.gov/.</t>
  </si>
  <si>
    <t>U.S. Department of Agriculture, Agricultural Research Service. (2019). *FoodData Central*. U.S. Department of Agriculture. https://fdc.nal.usda.gov/</t>
  </si>
  <si>
    <t>U.S. Department of Agriculture, Agricultural Research Service. *FoodData Central*. 2019. https://fdc.nal.usda.gov/.</t>
  </si>
  <si>
    <t>U.S. Department of Agriculture, Agricultural Research Service. (2019). *Apple, raw, with skin*. In *FoodData Central*. Retrieved September 15, 2025, from https://fdc.nal.usda.gov/fdc-app.html#/food-details/1102643/nutrients</t>
  </si>
  <si>
    <t>MLA</t>
  </si>
  <si>
    <t>APA (7th ed.)</t>
  </si>
  <si>
    <t>Chicago</t>
  </si>
  <si>
    <t>APA (example of individual food)</t>
  </si>
  <si>
    <t>USDA FoodData Central (FDC) is a U.S. government database of nutrition values.</t>
  </si>
  <si>
    <t>All data in FDC is in the public domain (U.S. Government work).</t>
  </si>
  <si>
    <t>FDC is widely trusted as the most reliable nutrition source in the U.S.</t>
  </si>
  <si>
    <t>Key Vitamins (per 100 g)</t>
  </si>
  <si>
    <t>Key Minerals (per 100 g)</t>
  </si>
  <si>
    <t>Vit. C (4.6 mg)</t>
  </si>
  <si>
    <t>Potassium (107 mg)</t>
  </si>
  <si>
    <t>Vit. B6 (0.4 mg), Vit. C (8.7 mg)</t>
  </si>
  <si>
    <t>Potassium (358 mg), Magnesium (27 mg)</t>
  </si>
  <si>
    <t>Vit. C (53 mg), Folate (30 µg)</t>
  </si>
  <si>
    <t>Potassium (181 mg), Calcium (40 mg)</t>
  </si>
  <si>
    <t>Vit. C (59 mg), Folate (24 µg)</t>
  </si>
  <si>
    <t>Manganese (0.4 mg), Potassium (153 mg)</t>
  </si>
  <si>
    <t>Vit. C (9.7 mg), Vit. K (19 µg)</t>
  </si>
  <si>
    <t>Manganese (0.3 mg)</t>
  </si>
  <si>
    <t>Vit. K (14.6 µg), Vit. C (4 mg)</t>
  </si>
  <si>
    <t>Potassium (191 mg)</t>
  </si>
  <si>
    <t>Vit. C (48 mg)</t>
  </si>
  <si>
    <t>Manganese (0.9 mg)</t>
  </si>
  <si>
    <t>Vit. A (54 µg), Vit. C (36 mg)</t>
  </si>
  <si>
    <t>Potassium (168 mg)</t>
  </si>
  <si>
    <t>Vit. C (93 mg), Vit. K (41 µg)</t>
  </si>
  <si>
    <t>Potassium (312 mg)</t>
  </si>
  <si>
    <t>Vit. C (4.3 mg)</t>
  </si>
  <si>
    <t>Potassium (116 mg)</t>
  </si>
  <si>
    <t>Vit. C (6.6 mg), Vit. A (16 µg)</t>
  </si>
  <si>
    <t>Potassium (190 mg)</t>
  </si>
  <si>
    <t>Vit. C (7 mg)</t>
  </si>
  <si>
    <t>Potassium (222 mg)</t>
  </si>
  <si>
    <t>Vit. C (8.1 mg), Vit. A (28 µg)</t>
  </si>
  <si>
    <t>Potassium (112 mg)</t>
  </si>
  <si>
    <t>Vit. A (169 µg), Vit. C (37 mg)</t>
  </si>
  <si>
    <t>Potassium (267 mg)</t>
  </si>
  <si>
    <t>Vit. C (18 mg), Folate (19 µg)</t>
  </si>
  <si>
    <t>Potassium (228 mg)</t>
  </si>
  <si>
    <t>Vit. C (9.5 mg)</t>
  </si>
  <si>
    <t>Potassium (157 mg)</t>
  </si>
  <si>
    <t>Vit. A (96 µg), Vit. C (10 mg)</t>
  </si>
  <si>
    <t>Potassium (259 mg)</t>
  </si>
  <si>
    <t>Vit. C (31 mg)</t>
  </si>
  <si>
    <t>Potassium (135 mg)</t>
  </si>
  <si>
    <t>Vit. C (10 mg), Folate (38 µg)</t>
  </si>
  <si>
    <t>Potassium (236 mg)</t>
  </si>
  <si>
    <t>Vit. C (27 mg)</t>
  </si>
  <si>
    <t>Potassium (166 mg)</t>
  </si>
  <si>
    <t>Vit. K (21 µg), Folate (81 µg), Vit. C (10 mg)</t>
  </si>
  <si>
    <t>Potassium (485 mg), Magnesium (29 mg)</t>
  </si>
  <si>
    <t>Vit. C (228 mg), Vit. A (31 µg), Folate (49 µg)</t>
  </si>
  <si>
    <t>Potassium (417 mg)</t>
  </si>
  <si>
    <t>Vit. C (61 mg), Vit. A (47 µg), Folate (37 µg)</t>
  </si>
  <si>
    <t>Potassium (182 mg)</t>
  </si>
  <si>
    <t>Vit. C (72 mg)</t>
  </si>
  <si>
    <t>Copper (0.1 mg), Potassium (171 mg)</t>
  </si>
  <si>
    <t>Vit. A (81 µg), Vit. C (7.5 mg)</t>
  </si>
  <si>
    <t>Potassium (161 mg), Manganese (0.4 mg)</t>
  </si>
  <si>
    <t>Vit. C (3 mg)</t>
  </si>
  <si>
    <t>Iron (1.9 mg), Magnesium (10 mg)</t>
  </si>
  <si>
    <t>Vit. C (14.7 mg), Vit. A (5 µg)</t>
  </si>
  <si>
    <t>Potassium (448 mg)</t>
  </si>
  <si>
    <t>Vit. C (19.7 mg), Folate (36 µg)</t>
  </si>
  <si>
    <t>Potassium (436 mg), Manganese (0.3 mg)</t>
  </si>
  <si>
    <t>Vit. C (20.6 mg)</t>
  </si>
  <si>
    <t>Potassium (278 mg), Magnesium (21 mg)</t>
  </si>
  <si>
    <t>Vit. C (30 mg), Vit. A (64 µg)</t>
  </si>
  <si>
    <t>Potassium (348 mg), Iron (1.6 mg)</t>
  </si>
  <si>
    <t>Vit. C (34 mg)</t>
  </si>
  <si>
    <t>Potassium (133 mg)</t>
  </si>
  <si>
    <t>Vit. C (84 mg)</t>
  </si>
  <si>
    <t>Potassium (266 mg)</t>
  </si>
  <si>
    <t>Vit. C (8 mg)</t>
  </si>
  <si>
    <t>Potassium (42 mg), Copper (0.1 mg)</t>
  </si>
  <si>
    <t>Vit. C (1677 mg), Vit. A (38 µg)</t>
  </si>
  <si>
    <t>Potassium (146 mg)</t>
  </si>
  <si>
    <t>Vit. C (29 mg)</t>
  </si>
  <si>
    <t>Potassium (490 mg), Magnesium (25 mg)</t>
  </si>
  <si>
    <t>FDC Link (raw)</t>
  </si>
  <si>
    <t>Vit. A 470 µg, Vit. K 480 µg, Folate 190 µg</t>
  </si>
  <si>
    <t>Iron 3.6 mg, Potassium 470 mg</t>
  </si>
  <si>
    <t>FDC Link (cooked)</t>
  </si>
  <si>
    <t>Vit. K 390 µg, Vit. C 40 mg, Vit. A 120 µg</t>
  </si>
  <si>
    <t>Calcium 150 mg, Potassium 230 mg</t>
  </si>
  <si>
    <t>Vit. C 64 mg, Vit. K 100 µg, Folate 60 µg</t>
  </si>
  <si>
    <t>Potassium 300 mg, Calcium 40 mg</t>
  </si>
  <si>
    <t>Vit. A 690 µg, Vit. K 13 µg</t>
  </si>
  <si>
    <t>Potassium 240 mg</t>
  </si>
  <si>
    <t>Vit. A 960 µg, Vit. C 3 mg</t>
  </si>
  <si>
    <t>Potassium 337 mg, Manganese 0.3 mg</t>
  </si>
  <si>
    <t>Vit. C 8 mg, Vit. B6 0.3 mg</t>
  </si>
  <si>
    <t>Potassium 380 mg, Magnesium 25 mg</t>
  </si>
  <si>
    <t>Vit. C 44 mg, Vit. K 15 µg, Folate 50 µg</t>
  </si>
  <si>
    <t>Potassium 300 mg</t>
  </si>
  <si>
    <t>Vit. C 95 mg, Vit. A 55 µg</t>
  </si>
  <si>
    <t>Potassium 210 mg</t>
  </si>
  <si>
    <t>Vit. C 13 mg, Vit. A 42 µg</t>
  </si>
  <si>
    <t>Vit. C 7 mg, Folate 20 µg</t>
  </si>
  <si>
    <t>Potassium 160 mg</t>
  </si>
  <si>
    <t>Vit. C 31 mg, B6 1.2 mg</t>
  </si>
  <si>
    <t>Manganese 2.3 mg, Selenium 14 µg</t>
  </si>
  <si>
    <t>Niacin 4 mg, Riboflavin 0.4 mg</t>
  </si>
  <si>
    <t>Selenium 20 µg, Potassium 350 mg</t>
  </si>
  <si>
    <t>Vit. C 28 mg, Vit. K 76 µg, Folate 30 µg</t>
  </si>
  <si>
    <t>Potassium 170 mg</t>
  </si>
  <si>
    <t>Vit. C 62 mg, Vit. K 140 µg, Folate 60 µg</t>
  </si>
  <si>
    <t>Potassium 340 mg, Manganese 0.3 mg</t>
  </si>
  <si>
    <t>Vit. K 35 µg, Folate 90 µg, Vit. C 6 mg</t>
  </si>
  <si>
    <t>Potassium 200 mg</t>
  </si>
  <si>
    <t>Vit. C 12 mg, Vit. A 20 µg</t>
  </si>
  <si>
    <t>Potassium 260 mg</t>
  </si>
  <si>
    <t>Vit. K 3.5 µg, Folate 22 µg</t>
  </si>
  <si>
    <t>Potassium 120 mg, Manganese 0.2 mg</t>
  </si>
  <si>
    <t>Vit. C 12 mg, Vit. K 15 µg, Folate 40 µg</t>
  </si>
  <si>
    <t>Vit. A 270 µg, Vit. C 26 mg, Vit. K 45 µg</t>
  </si>
  <si>
    <t>Calcium 100 mg, Potassium 250 mg</t>
  </si>
  <si>
    <t>Vit. C 16 mg, Folate 25 µg</t>
  </si>
  <si>
    <t>Potassium 140 mg, Calcium 50 mg</t>
  </si>
  <si>
    <t>Vit. C 23 mg, Folate 60 µg, Vit. K 40 µg</t>
  </si>
  <si>
    <t>Magnesium 60 mg, Potassium 300 mg</t>
  </si>
  <si>
    <t>Vit. A 260 µg, Folate 140 µg</t>
  </si>
  <si>
    <t>Iodine (varies), Iron 2 mg, Magnesium 100 mg</t>
  </si>
  <si>
    <t>FDC Link (raw*)</t>
  </si>
  <si>
    <t>Vit. C 20 mg, Folate 25 µg</t>
  </si>
  <si>
    <t>Potassium 230 mg</t>
  </si>
  <si>
    <t>Vit. C 45 mg, B6 0.3 mg</t>
  </si>
  <si>
    <t>Potassium 550 mg, Copper 0.2 mg</t>
  </si>
  <si>
    <t>Vit. C 20 mg, Folate 12 µg</t>
  </si>
  <si>
    <t>Potassium 150 mg</t>
  </si>
  <si>
    <t>Vit. C 15 mg</t>
  </si>
  <si>
    <t>Vit. C 60 mg, Folate 70 µg</t>
  </si>
  <si>
    <t>Potassium 320 mg</t>
  </si>
  <si>
    <t>Vit. C 140 mg, Vit. A 40 µg</t>
  </si>
  <si>
    <t>Potassium 260 mg, Calcium 30 mg</t>
  </si>
  <si>
    <t>Vit. E 2 mg, Folate 20 µg</t>
  </si>
  <si>
    <t>Potassium 590 mg, Magnesium 33 mg</t>
  </si>
  <si>
    <t>Vit. C 12 mg, B6 0.3 mg</t>
  </si>
  <si>
    <t>Potassium 800 mg, Manganese 0.4 mg</t>
  </si>
  <si>
    <t>Vit. C 7 mg, Folate 80 µg</t>
  </si>
  <si>
    <t>Potassium 125 mg</t>
  </si>
  <si>
    <t>Vit. A 315 µg, Vit. C 55 mg</t>
  </si>
  <si>
    <t>Iron 1.7 mg, Potassium 270 mg</t>
  </si>
  <si>
    <t>Vit. K 260 µg, Vit. A 200 µg, Vit. C 40 mg</t>
  </si>
  <si>
    <t>Calcium 120 mg, Potassium 200 mg</t>
  </si>
  <si>
    <t>Vit. C 12 mg, Folate 28 µg</t>
  </si>
  <si>
    <t>Potassium 360 mg, Manganese 0.2 mg</t>
  </si>
  <si>
    <t>Vit. B6 0.2 mg, Folate 7 µg</t>
  </si>
  <si>
    <t>Potassium 530 mg, Manganese 0.3 mg</t>
  </si>
  <si>
    <t>Folate 170 µg, B6 0.1 mg</t>
  </si>
  <si>
    <t>Iron 2.9 mg, Potassium 290 mg, Magnesium 48 mg</t>
  </si>
  <si>
    <t>Folate 140 µg</t>
  </si>
  <si>
    <t>Iron 2.1 mg, Potassium 355 mg, Magnesium 70 mg</t>
  </si>
  <si>
    <t>Folate 150 µg</t>
  </si>
  <si>
    <t>Iron 2.0 mg, Potassium 436 mg, Magnesium 50 mg</t>
  </si>
  <si>
    <t>Folate 130 µg</t>
  </si>
  <si>
    <t>Iron 2.9 mg, Potassium 403 mg, Magnesium 45 mg</t>
  </si>
  <si>
    <t>Iron 3.6 mg, Potassium 561 mg, Magnesium 44 mg</t>
  </si>
  <si>
    <t>Folate 180 µg</t>
  </si>
  <si>
    <t>Iron 3.3 mg, Potassium 369 mg, Magnesium 36 mg</t>
  </si>
  <si>
    <t>Folate 65 µg</t>
  </si>
  <si>
    <t>Iron 1.3 mg, Potassium 290 mg, Magnesium 36 mg</t>
  </si>
  <si>
    <t>Folate 125 µg</t>
  </si>
  <si>
    <t>Iron 2.5 mg, Potassium 278 mg, Magnesium 45 mg</t>
  </si>
  <si>
    <t>Folate 100 µg</t>
  </si>
  <si>
    <t>Iron 1.5 mg, Potassium 268 mg, Magnesium 43 mg</t>
  </si>
  <si>
    <t>Folate 120 µg</t>
  </si>
  <si>
    <t>Iron 2.0 mg, Potassium 350 mg, Magnesium 50 mg</t>
  </si>
  <si>
    <t>Folate 160 µg</t>
  </si>
  <si>
    <t>Iron 1.4 mg, Potassium 266 mg, Magnesium 48 mg</t>
  </si>
  <si>
    <t>Folate 120 µg, K 21 µg</t>
  </si>
  <si>
    <t>Iron 2.3 mg, Potassium 436 mg, Magnesium 64 mg</t>
  </si>
  <si>
    <t>Folate 200 µg</t>
  </si>
  <si>
    <t>Iron 7.6 mg, Potassium 983 mg, Magnesium 267 mg</t>
  </si>
  <si>
    <t>Iron 5.0 mg, Potassium 1392 mg, Magnesium 130 mg</t>
  </si>
  <si>
    <t>Iron 6.7 mg, Potassium 1246 mg, Magnesium 189 mg</t>
  </si>
  <si>
    <t>Iron 7.5 mg, Potassium 980 mg, Magnesium 47 mg</t>
  </si>
  <si>
    <t>Iron 2.4 mg, Potassium 354 mg, Magnesium 49 mg</t>
  </si>
  <si>
    <t>Folate 40 µg</t>
  </si>
  <si>
    <t>Iron 2.4 mg, Potassium 265 mg, Magnesium 43 mg</t>
  </si>
  <si>
    <t>Folate 85 µg</t>
  </si>
  <si>
    <t>Iron 1.9 mg, Potassium 282 mg, Magnesium 47 mg</t>
  </si>
  <si>
    <t>Iron 4.0 mg, Potassium 846 mg, Magnesium 160 mg</t>
  </si>
  <si>
    <t>Folate 30 µg, B2 0.4 mg</t>
  </si>
  <si>
    <t>Iron 2.7 mg, Potassium 412 mg, Calcium 111 mg</t>
  </si>
  <si>
    <t>Folate 27 µg, B1 0.1 mg</t>
  </si>
  <si>
    <t>Calcium 350 mg (if Ca-set), Iron 1.1 mg, Potassium 121 mg</t>
  </si>
  <si>
    <t>Iron 5.3 mg, Potassium 1280 mg, Magnesium 200 mg</t>
  </si>
  <si>
    <t>Folate 250 µg</t>
  </si>
  <si>
    <t>Iron 6.0 mg, Potassium 1200 mg, Magnesium 190 mg</t>
  </si>
  <si>
    <t>Folate 80 µg</t>
  </si>
  <si>
    <t>Iron 1.2 mg, Potassium 101 mg, Magnesium 33 mg</t>
  </si>
  <si>
    <t>Iron 2.2 mg, Potassium 268 mg, Magnesium 40 mg</t>
  </si>
  <si>
    <t>Folate 480 µg</t>
  </si>
  <si>
    <t>Iron 5.0 mg, Potassium 980 mg, Magnesium 115 mg</t>
  </si>
  <si>
    <t>Iron 6.8 mg, Potassium 1200 mg, Magnesium 200 mg</t>
  </si>
  <si>
    <t>Folate 60 µg</t>
  </si>
  <si>
    <t>Iron 5.4 mg, Potassium 977 mg, Calcium 440 mg</t>
  </si>
  <si>
    <t>Iron 1.5 mg, Potassium 270 mg, Magnesium 40 mg</t>
  </si>
  <si>
    <t>B3 14 mg, B6 0.6 mg</t>
  </si>
  <si>
    <t>Selenium 27 µg, Phosphorus 210 mg</t>
  </si>
  <si>
    <t>B3 7 mg, B6 0.5 mg</t>
  </si>
  <si>
    <t>Selenium 24 µg, Phosphorus 180 mg</t>
  </si>
  <si>
    <t>B3 10 mg, B6 0.7 mg</t>
  </si>
  <si>
    <t>Selenium 25 µg, Phosphorus 210 mg</t>
  </si>
  <si>
    <t>B12 2.0 µg, B3 8 mg</t>
  </si>
  <si>
    <t>Zinc 4.4 mg, Iron 2.0 mg</t>
  </si>
  <si>
    <t>B12 2.2 µg, B3 6 mg</t>
  </si>
  <si>
    <t>Zinc 5.0 mg, Iron 2.5 mg</t>
  </si>
  <si>
    <t>B1 0.6 mg, B3 7 mg</t>
  </si>
  <si>
    <t>Selenium 38 µg, Phosphorus 240 mg</t>
  </si>
  <si>
    <t>B3 8 mg</t>
  </si>
  <si>
    <t>Sodium high, Selenium 32 µg</t>
  </si>
  <si>
    <t>FDC Link (processed)</t>
  </si>
  <si>
    <t>B1 0.6 mg, B3 6 mg</t>
  </si>
  <si>
    <t>Sodium high, Selenium 23 µg</t>
  </si>
  <si>
    <t>B12 1.3 µg, B3 5 mg</t>
  </si>
  <si>
    <t>Sodium high, Zinc 2.0 mg</t>
  </si>
  <si>
    <t>B12 2.0 µg, B3 7 mg</t>
  </si>
  <si>
    <t>Zinc 4.0 mg, Iron 1.8 mg</t>
  </si>
  <si>
    <t>B12 1.1 µg, B3 3 mg</t>
  </si>
  <si>
    <t>Iron 3.7 mg, Potassium 405 mg</t>
  </si>
  <si>
    <t>B3 5 mg, B6 0.2 mg</t>
  </si>
  <si>
    <t>Iron 2.7 mg</t>
  </si>
  <si>
    <t>B12 3.0 µg, D 10 µg</t>
  </si>
  <si>
    <t>Selenium 26 µg, Potassium 360 mg</t>
  </si>
  <si>
    <t>B12 0.9 µg, B3 13 mg</t>
  </si>
  <si>
    <t>Selenium 90 µg, Phosphorus 240 mg</t>
  </si>
  <si>
    <t>B12 1.1 µg</t>
  </si>
  <si>
    <t>Selenium 54 µg, Iodine (varies)</t>
  </si>
  <si>
    <t>B12 9.8 µg</t>
  </si>
  <si>
    <t>Selenium 36 µg, Zinc 3.0 mg</t>
  </si>
  <si>
    <t>B12 1.0 µg</t>
  </si>
  <si>
    <t>Selenium 51 µg, Zinc 1.6 mg</t>
  </si>
  <si>
    <t>B12 1.0 µg, B6 0.2 mg</t>
  </si>
  <si>
    <t>Selenium 33 µg, Phosphorus 200 mg</t>
  </si>
  <si>
    <t>B12 1.9 µg, B3 4 mg</t>
  </si>
  <si>
    <t>Selenium 47 µg, Phosphorus 200 mg</t>
  </si>
  <si>
    <t>B12 4.5 µg, D 11 µg</t>
  </si>
  <si>
    <t>Selenium 12 µg, Phosphorus 240 mg</t>
  </si>
  <si>
    <t>B12 8.9 µg, D 4.8 µg</t>
  </si>
  <si>
    <t>Calcium 382 mg, Selenium 52 µg</t>
  </si>
  <si>
    <t>B12 12 µg, D 8 µg</t>
  </si>
  <si>
    <t>Selenium 44 µg, Phosphorus 230 mg</t>
  </si>
  <si>
    <t>B12 1.4 µg, B3 14 mg</t>
  </si>
  <si>
    <t>Sodium high, Calcium 147 mg</t>
  </si>
  <si>
    <t>B12 1.7 µg</t>
  </si>
  <si>
    <t>Phosphorus 426 mg, Selenium 24 µg</t>
  </si>
  <si>
    <t>B12 20 µg, C 13 mg</t>
  </si>
  <si>
    <t>Iron 6.7 mg, Selenium 89 µg</t>
  </si>
  <si>
    <t>B3 7 mg, B6 0.4 mg</t>
  </si>
  <si>
    <t>Iron 4.5 mg, Phosphorus 210 mg</t>
  </si>
  <si>
    <t>B12 7.4 µg, B3 6 mg</t>
  </si>
  <si>
    <t>Phosphorus 200 mg, Selenium 27 µg</t>
  </si>
  <si>
    <t>Iron 3.4 mg, Zinc 3.0 mg</t>
  </si>
  <si>
    <t>B12 2.8 µg, B3 5 mg</t>
  </si>
  <si>
    <t>Iron 3.4 mg, Zinc 4.0 mg</t>
  </si>
  <si>
    <t>B3 9 mg, B6 0.6 mg</t>
  </si>
  <si>
    <t>Phosphorus 240 mg, Selenium 25 µg</t>
  </si>
  <si>
    <t>B3 5 mg</t>
  </si>
  <si>
    <t>Iron 2.4 mg</t>
  </si>
  <si>
    <t>B1 0.6 mg</t>
  </si>
  <si>
    <t>Selenium 33 µg</t>
  </si>
  <si>
    <t>B1 0.4 mg, B3 5 mg</t>
  </si>
  <si>
    <t>Sodium high, Selenium 22 µg</t>
  </si>
  <si>
    <t>B12 1.4 µg, B3 4 mg</t>
  </si>
  <si>
    <t>Sodium high, Zinc 2.5 mg</t>
  </si>
  <si>
    <t>B12 36 µg</t>
  </si>
  <si>
    <t>Iron 9.5 mg, Selenium 89 µg</t>
  </si>
  <si>
    <t>B12 13 µg, D 4.2 µg</t>
  </si>
  <si>
    <t>Selenium 39 µg, Phosphorus 210 mg</t>
  </si>
  <si>
    <t>B1 0.02 mg, Folate 58 µg (enriched)</t>
  </si>
  <si>
    <t>Manganese 0.4 mg, Selenium 7.5 µg</t>
  </si>
  <si>
    <t>B3 1.5 mg, B6 0.1 mg</t>
  </si>
  <si>
    <t>Magnesium 44 mg, Manganese 0.97 mg</t>
  </si>
  <si>
    <t>B1 0.02 mg, B3 1.4 mg</t>
  </si>
  <si>
    <t>Selenium 6 µg, Manganese 0.3 mg</t>
  </si>
  <si>
    <t>B1 0.02 mg, B3 1.0 mg</t>
  </si>
  <si>
    <t>B1 0.02 mg, B3 1.2 mg</t>
  </si>
  <si>
    <t>Selenium 6 µg</t>
  </si>
  <si>
    <t>Folate 83 µg (enriched), B1 0.2 mg</t>
  </si>
  <si>
    <t>Selenium 26 µg, Iron 1.3 mg</t>
  </si>
  <si>
    <t>Folate 83 µg (enriched)</t>
  </si>
  <si>
    <t>Selenium 26 µg</t>
  </si>
  <si>
    <t>Folate 60 µg (enriched)</t>
  </si>
  <si>
    <t>Selenium 20 µg</t>
  </si>
  <si>
    <t>Folate 115 µg (enriched), B1 0.5 mg</t>
  </si>
  <si>
    <t>Iron 3.6 mg, Selenium 23 µg</t>
  </si>
  <si>
    <t>B3 4 mg, B6 0.1 mg</t>
  </si>
  <si>
    <t>Magnesium 76 mg, Iron 2.5 mg</t>
  </si>
  <si>
    <t>B1 0.4 mg</t>
  </si>
  <si>
    <t>Selenium 22 µg, Iron 2.1 mg</t>
  </si>
  <si>
    <t>B1 0.2 mg</t>
  </si>
  <si>
    <t>Manganese 0.9 mg, Iron 2.8 mg</t>
  </si>
  <si>
    <t>B1 0.3 mg</t>
  </si>
  <si>
    <t>Iron 3.0 mg, Selenium 30 µg</t>
  </si>
  <si>
    <t>B3 1.5 mg</t>
  </si>
  <si>
    <t>Magnesium 50 mg, Calcium 150 mg (lime-treated)</t>
  </si>
  <si>
    <t>Folate 80 µg (enriched)</t>
  </si>
  <si>
    <t>Iron 3.7 mg, Selenium 26 µg</t>
  </si>
  <si>
    <t>Folate 100 µg (enriched)</t>
  </si>
  <si>
    <t>Selenium 27 µg</t>
  </si>
  <si>
    <t>Selenium 30 µg, Iron 3.6 mg</t>
  </si>
  <si>
    <t>Selenium 21 µg</t>
  </si>
  <si>
    <t>Selenium 23 µg</t>
  </si>
  <si>
    <t>Folate 42 µg, B6 0.1 mg</t>
  </si>
  <si>
    <t>Magnesium 64 mg, Manganese 0.3 mg</t>
  </si>
  <si>
    <t>Folate 15 µg</t>
  </si>
  <si>
    <t>B1 0.1 mg</t>
  </si>
  <si>
    <t>Manganese 0.6 mg, Iron 0.9 mg</t>
  </si>
  <si>
    <t>B3 0.8 mg</t>
  </si>
  <si>
    <t>Selenium 11 µg, Magnesium 22 mg</t>
  </si>
  <si>
    <t>B3 1.1 mg</t>
  </si>
  <si>
    <t>Magnesium 44 mg, Phosphorus 100 mg</t>
  </si>
  <si>
    <t>B3 3.1 mg</t>
  </si>
  <si>
    <t>Magnesium 51 mg, Manganese 0.6 mg</t>
  </si>
  <si>
    <t>Folate 17 µg (enriched)</t>
  </si>
  <si>
    <t>Selenium 12 µg, Iron 1.0 mg</t>
  </si>
  <si>
    <t>B2 0.05 mg, B3 1.0 mg</t>
  </si>
  <si>
    <t>Manganese 0.4 mg, Magnesium 25 mg</t>
  </si>
  <si>
    <t>B1 0.02 mg</t>
  </si>
  <si>
    <t>Selenium 4 µg</t>
  </si>
  <si>
    <t>B3 0.4 mg</t>
  </si>
  <si>
    <t>Iron 0.4 mg</t>
  </si>
  <si>
    <t>Folate 30 µg (enriched)</t>
  </si>
  <si>
    <t>Iron 1.5 mg</t>
  </si>
  <si>
    <t>Iron 3.5 mg</t>
  </si>
  <si>
    <t>B3 3.9 mg</t>
  </si>
  <si>
    <t>Iron 3.5 mg, Magnesium 90 mg</t>
  </si>
  <si>
    <t>Iron 3.0 mg, Calcium 80 mg</t>
  </si>
  <si>
    <t>B1 0.5 mg</t>
  </si>
  <si>
    <t>Iron 3.0 mg</t>
  </si>
  <si>
    <t>Unit</t>
  </si>
  <si>
    <t>What it means</t>
  </si>
  <si>
    <t>Comparison / Everyday Object</t>
  </si>
  <si>
    <t>1 gram (g)</t>
  </si>
  <si>
    <t>Basic unit of weight. 1 g = 1,000 mg = 1,000,000 µg</t>
  </si>
  <si>
    <t>About the weight of a small paperclip or sugar cube</t>
  </si>
  <si>
    <t>1 milligram (mg)</t>
  </si>
  <si>
    <t>One-thousandth of a gram (0.001 g)</t>
  </si>
  <si>
    <t>About the weight of a single grain of table sugar</t>
  </si>
  <si>
    <t>1 microgram (µg)</t>
  </si>
  <si>
    <t>One-millionth of a gram (0.000001 g)</t>
  </si>
  <si>
    <t>So tiny you can’t see it — about 1/17,000 of a teaspoon of powder</t>
  </si>
  <si>
    <t>Why food labels use mg/µg</t>
  </si>
  <si>
    <t>Vitamins &amp; minerals are present in very small amounts</t>
  </si>
  <si>
    <t>Too small to measure with cups/spoons, but still important for health</t>
  </si>
  <si>
    <t>Example: Rice (100 g)</t>
  </si>
  <si>
    <t>Folate 58 µg = 0.058 mg</t>
  </si>
  <si>
    <t>Less than a dust speck, but essential for the body</t>
  </si>
  <si>
    <t>General rule of thumb</t>
  </si>
  <si>
    <t>For foods with density close to water (1 g ≈ 1 ml):</t>
  </si>
  <si>
    <r>
      <t>100 g ≈ 100 ml ≈ 0.42 US cups</t>
    </r>
    <r>
      <rPr>
        <sz val="11"/>
        <color theme="1"/>
        <rFont val="Calibri"/>
        <family val="2"/>
        <scheme val="minor"/>
      </rPr>
      <t xml:space="preserve"> (just under ½ cup).</t>
    </r>
  </si>
  <si>
    <r>
      <t>Cooked rice</t>
    </r>
    <r>
      <rPr>
        <sz val="11"/>
        <color theme="1"/>
        <rFont val="Calibri"/>
        <family val="2"/>
        <scheme val="minor"/>
      </rPr>
      <t>: 100 g ≈ ½ cup</t>
    </r>
  </si>
  <si>
    <r>
      <t>Flour</t>
    </r>
    <r>
      <rPr>
        <sz val="11"/>
        <color theme="1"/>
        <rFont val="Calibri"/>
        <family val="2"/>
        <scheme val="minor"/>
      </rPr>
      <t>: 100 g ≈ ¾ cup</t>
    </r>
  </si>
  <si>
    <r>
      <t>Sugar</t>
    </r>
    <r>
      <rPr>
        <sz val="11"/>
        <color theme="1"/>
        <rFont val="Calibri"/>
        <family val="2"/>
        <scheme val="minor"/>
      </rPr>
      <t>: 100 g ≈ ½ cup</t>
    </r>
  </si>
  <si>
    <r>
      <t>Chopped vegetables (like carrots)</t>
    </r>
    <r>
      <rPr>
        <sz val="11"/>
        <color theme="1"/>
        <rFont val="Calibri"/>
        <family val="2"/>
        <scheme val="minor"/>
      </rPr>
      <t>: 100 g ≈ ⅔ cup</t>
    </r>
  </si>
  <si>
    <r>
      <t>Oats</t>
    </r>
    <r>
      <rPr>
        <sz val="11"/>
        <color theme="1"/>
        <rFont val="Calibri"/>
        <family val="2"/>
        <scheme val="minor"/>
      </rPr>
      <t>: 100 g ≈ 1 ⅛ cups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</si>
</sst>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3.5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1" fillId="0" borderId="0" xfId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ood-search?query=Pineapple+raw&amp;type=Foundation" TargetMode="External"/><Relationship Id="rId47" Type="http://schemas.openxmlformats.org/officeDocument/2006/relationships/hyperlink" Target="https://fdc.nal.usda.gov/food-search?query=Cherry+raw&amp;type=Foundation" TargetMode="External"/><Relationship Id="rId63" Type="http://schemas.openxmlformats.org/officeDocument/2006/relationships/hyperlink" Target="https://fdc.nal.usda.gov/food-search?query=Durian+raw&amp;type=Foundation" TargetMode="External"/><Relationship Id="rId68" Type="http://schemas.openxmlformats.org/officeDocument/2006/relationships/hyperlink" Target="https://fdc.nal.usda.gov/food-search?query=Rambutan+raw&amp;type=Foundation" TargetMode="External"/><Relationship Id="rId7" Type="http://schemas.openxmlformats.org/officeDocument/2006/relationships/hyperlink" Target="https://fdc.nal.usda.gov/fdc-app.html" TargetMode="External"/><Relationship Id="rId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ood-search?query=Banana+raw&amp;type=Foundation" TargetMode="External"/><Relationship Id="rId40" Type="http://schemas.openxmlformats.org/officeDocument/2006/relationships/hyperlink" Target="https://fdc.nal.usda.gov/food-search?query=Blueberry+raw&amp;type=Foundation" TargetMode="External"/><Relationship Id="rId45" Type="http://schemas.openxmlformats.org/officeDocument/2006/relationships/hyperlink" Target="https://fdc.nal.usda.gov/food-search?query=Pear+raw&amp;type=Foundation" TargetMode="External"/><Relationship Id="rId53" Type="http://schemas.openxmlformats.org/officeDocument/2006/relationships/hyperlink" Target="https://fdc.nal.usda.gov/food-search?query=Grapefruit+raw&amp;type=Foundation" TargetMode="External"/><Relationship Id="rId58" Type="http://schemas.openxmlformats.org/officeDocument/2006/relationships/hyperlink" Target="https://fdc.nal.usda.gov/food-search?query=Papaya+raw&amp;type=Foundation" TargetMode="External"/><Relationship Id="rId66" Type="http://schemas.openxmlformats.org/officeDocument/2006/relationships/hyperlink" Target="https://fdc.nal.usda.gov/food-search?query=Starfruit+%28Carambola%29+raw&amp;type=Foundation" TargetMode="External"/><Relationship Id="rId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ood-search?query=Dragon+Fruit+%28Pitaya%29+raw&amp;type=Foundation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ood-search?query=Mango+raw&amp;type=Foundation" TargetMode="External"/><Relationship Id="rId48" Type="http://schemas.openxmlformats.org/officeDocument/2006/relationships/hyperlink" Target="https://fdc.nal.usda.gov/food-search?query=Watermelon+raw&amp;type=Foundation" TargetMode="External"/><Relationship Id="rId56" Type="http://schemas.openxmlformats.org/officeDocument/2006/relationships/hyperlink" Target="https://fdc.nal.usda.gov/food-search?query=Avocado+raw&amp;type=Foundation" TargetMode="External"/><Relationship Id="rId64" Type="http://schemas.openxmlformats.org/officeDocument/2006/relationships/hyperlink" Target="https://fdc.nal.usda.gov/food-search?query=Soursop+%28Guan%C3%A1bana%29+raw&amp;type=Foundation" TargetMode="External"/><Relationship Id="rId69" Type="http://schemas.openxmlformats.org/officeDocument/2006/relationships/hyperlink" Target="https://fdc.nal.usda.gov/food-search?query=Acerola+Cherry+raw&amp;type=Foundation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ood-search?query=Plum+raw&amp;type=Foundation" TargetMode="External"/><Relationship Id="rId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ood-search?query=Orange+raw&amp;type=Foundation" TargetMode="External"/><Relationship Id="rId46" Type="http://schemas.openxmlformats.org/officeDocument/2006/relationships/hyperlink" Target="https://fdc.nal.usda.gov/food-search?query=Peach+raw&amp;type=Foundation" TargetMode="External"/><Relationship Id="rId59" Type="http://schemas.openxmlformats.org/officeDocument/2006/relationships/hyperlink" Target="https://fdc.nal.usda.gov/food-search?query=Lychee+raw&amp;type=Foundation" TargetMode="External"/><Relationship Id="rId67" Type="http://schemas.openxmlformats.org/officeDocument/2006/relationships/hyperlink" Target="https://fdc.nal.usda.gov/food-search?query=Longan+raw&amp;type=Foundation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ood-search?query=Grapes+raw&amp;type=Foundation" TargetMode="External"/><Relationship Id="rId54" Type="http://schemas.openxmlformats.org/officeDocument/2006/relationships/hyperlink" Target="https://fdc.nal.usda.gov/food-search?query=Pomegranate+raw&amp;type=Foundation" TargetMode="External"/><Relationship Id="rId62" Type="http://schemas.openxmlformats.org/officeDocument/2006/relationships/hyperlink" Target="https://fdc.nal.usda.gov/food-search?query=Jackfruit+raw&amp;type=Foundation" TargetMode="External"/><Relationship Id="rId70" Type="http://schemas.openxmlformats.org/officeDocument/2006/relationships/hyperlink" Target="https://fdc.nal.usda.gov/food-search?query=Breadfruit+raw&amp;type=Foundation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ood-search?query=Apple+raw&amp;type=Foundation" TargetMode="External"/><Relationship Id="rId49" Type="http://schemas.openxmlformats.org/officeDocument/2006/relationships/hyperlink" Target="https://fdc.nal.usda.gov/food-search?query=Cantaloupe+raw&amp;type=Foundation" TargetMode="External"/><Relationship Id="rId57" Type="http://schemas.openxmlformats.org/officeDocument/2006/relationships/hyperlink" Target="https://fdc.nal.usda.gov/food-search?query=Guava+raw&amp;type=Foundation" TargetMode="External"/><Relationship Id="rId10" Type="http://schemas.openxmlformats.org/officeDocument/2006/relationships/hyperlink" Target="https://fdc.nal.usda.gov/fdc-app.html" TargetMode="External"/><Relationship Id="rId31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ood-search?query=Kiwi+raw&amp;type=Foundation" TargetMode="External"/><Relationship Id="rId52" Type="http://schemas.openxmlformats.org/officeDocument/2006/relationships/hyperlink" Target="https://fdc.nal.usda.gov/food-search?query=Apricot+raw&amp;type=Foundation" TargetMode="External"/><Relationship Id="rId60" Type="http://schemas.openxmlformats.org/officeDocument/2006/relationships/hyperlink" Target="https://fdc.nal.usda.gov/food-search?query=Persimmon+raw&amp;type=Foundation" TargetMode="External"/><Relationship Id="rId65" Type="http://schemas.openxmlformats.org/officeDocument/2006/relationships/hyperlink" Target="https://fdc.nal.usda.gov/food-search?query=Passionfruit+raw&amp;type=Foundation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Relationship Id="rId13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ood-search?query=Strawberry+raw&amp;type=Foundation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ood-search?query=Honeydew+raw&amp;type=Foundation" TargetMode="External"/><Relationship Id="rId55" Type="http://schemas.openxmlformats.org/officeDocument/2006/relationships/hyperlink" Target="https://fdc.nal.usda.gov/food-search?query=Mandarin+raw&amp;type=Foundatio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ood-search?query=Cauliflower+cooked&amp;type=Foundation" TargetMode="External"/><Relationship Id="rId47" Type="http://schemas.openxmlformats.org/officeDocument/2006/relationships/hyperlink" Target="https://fdc.nal.usda.gov/food-search?query=Mushroom+cooked&amp;type=Foundation" TargetMode="External"/><Relationship Id="rId63" Type="http://schemas.openxmlformats.org/officeDocument/2006/relationships/hyperlink" Target="https://fdc.nal.usda.gov/food-search?query=Drumstick+%28Moringa+Pods%29+raw&amp;type=Foundation" TargetMode="External"/><Relationship Id="rId68" Type="http://schemas.openxmlformats.org/officeDocument/2006/relationships/hyperlink" Target="https://fdc.nal.usda.gov/food-search?query=Mustard+Greens+cooked&amp;type=Foundation" TargetMode="External"/><Relationship Id="rId7" Type="http://schemas.openxmlformats.org/officeDocument/2006/relationships/hyperlink" Target="https://fdc.nal.usda.gov/fdc-app.html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ood-search?query=Kale+cooked&amp;type=Foundation" TargetMode="External"/><Relationship Id="rId40" Type="http://schemas.openxmlformats.org/officeDocument/2006/relationships/hyperlink" Target="https://fdc.nal.usda.gov/food-search?query=Sweet+Potato+cooked&amp;type=Foundation" TargetMode="External"/><Relationship Id="rId45" Type="http://schemas.openxmlformats.org/officeDocument/2006/relationships/hyperlink" Target="https://fdc.nal.usda.gov/food-search?query=Onion+cooked&amp;type=Foundation" TargetMode="External"/><Relationship Id="rId53" Type="http://schemas.openxmlformats.org/officeDocument/2006/relationships/hyperlink" Target="https://fdc.nal.usda.gov/food-search?query=Green+Beans+cooked&amp;type=Foundation" TargetMode="External"/><Relationship Id="rId58" Type="http://schemas.openxmlformats.org/officeDocument/2006/relationships/hyperlink" Target="https://fdc.nal.usda.gov/food-search?query=Daikon+Radish+cooked&amp;type=Foundation" TargetMode="External"/><Relationship Id="rId66" Type="http://schemas.openxmlformats.org/officeDocument/2006/relationships/hyperlink" Target="https://fdc.nal.usda.gov/food-search?query=Chayote+cooked&amp;type=Foundation" TargetMode="External"/><Relationship Id="rId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ood-search?query=Tindora+%28Ivy+Gourd%29+raw&amp;type=Foundation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ood-search?query=Bell+Pepper+cooked&amp;type=Foundation" TargetMode="External"/><Relationship Id="rId48" Type="http://schemas.openxmlformats.org/officeDocument/2006/relationships/hyperlink" Target="https://fdc.nal.usda.gov/food-search?query=Cabbage+cooked&amp;type=Foundation" TargetMode="External"/><Relationship Id="rId56" Type="http://schemas.openxmlformats.org/officeDocument/2006/relationships/hyperlink" Target="https://fdc.nal.usda.gov/food-search?query=Okra+%28Lady%27s+Fingers%29+cooked&amp;type=Foundation" TargetMode="External"/><Relationship Id="rId64" Type="http://schemas.openxmlformats.org/officeDocument/2006/relationships/hyperlink" Target="https://fdc.nal.usda.gov/food-search?query=Taro+Root+%28Arbi%29+cooked&amp;type=Foundation" TargetMode="External"/><Relationship Id="rId69" Type="http://schemas.openxmlformats.org/officeDocument/2006/relationships/hyperlink" Target="https://fdc.nal.usda.gov/food-search?query=Fennel+%28Bulb%29+cooked&amp;type=Foundation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ood-search?query=Zucchini+cooked&amp;type=Foundation" TargetMode="External"/><Relationship Id="rId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ood-search?query=Broccoli+cooked&amp;type=Foundation" TargetMode="External"/><Relationship Id="rId46" Type="http://schemas.openxmlformats.org/officeDocument/2006/relationships/hyperlink" Target="https://fdc.nal.usda.gov/food-search?query=Garlic+cooked&amp;type=Foundation" TargetMode="External"/><Relationship Id="rId59" Type="http://schemas.openxmlformats.org/officeDocument/2006/relationships/hyperlink" Target="https://fdc.nal.usda.gov/food-search?query=Lotus+Root+cooked&amp;type=Foundation" TargetMode="External"/><Relationship Id="rId67" Type="http://schemas.openxmlformats.org/officeDocument/2006/relationships/hyperlink" Target="https://fdc.nal.usda.gov/food-search?query=Water+Spinach+%28Kang+Kong%29+raw&amp;type=Foundation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ood-search?query=Potato+cooked&amp;type=Foundation" TargetMode="External"/><Relationship Id="rId54" Type="http://schemas.openxmlformats.org/officeDocument/2006/relationships/hyperlink" Target="https://fdc.nal.usda.gov/food-search?query=Bok+Choy+cooked&amp;type=Foundation" TargetMode="External"/><Relationship Id="rId62" Type="http://schemas.openxmlformats.org/officeDocument/2006/relationships/hyperlink" Target="https://fdc.nal.usda.gov/food-search?query=Bitter+Melon+%28Karela%29+raw&amp;type=Foundation" TargetMode="External"/><Relationship Id="rId70" Type="http://schemas.openxmlformats.org/officeDocument/2006/relationships/hyperlink" Target="https://fdc.nal.usda.gov/food-search?query=Bamboo+Shoots+cooked&amp;type=Foundation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ood-search?query=Spinach+cooked&amp;type=Foundation" TargetMode="External"/><Relationship Id="rId49" Type="http://schemas.openxmlformats.org/officeDocument/2006/relationships/hyperlink" Target="https://fdc.nal.usda.gov/food-search?query=Brussels+Sprouts+cooked&amp;type=Foundation" TargetMode="External"/><Relationship Id="rId57" Type="http://schemas.openxmlformats.org/officeDocument/2006/relationships/hyperlink" Target="https://fdc.nal.usda.gov/food-search?query=Seaweed+%28Nori%29+raw&amp;type=Foundation" TargetMode="External"/><Relationship Id="rId10" Type="http://schemas.openxmlformats.org/officeDocument/2006/relationships/hyperlink" Target="https://fdc.nal.usda.gov/fdc-app.html" TargetMode="External"/><Relationship Id="rId31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ood-search?query=Tomato+cooked&amp;type=Foundation" TargetMode="External"/><Relationship Id="rId52" Type="http://schemas.openxmlformats.org/officeDocument/2006/relationships/hyperlink" Target="https://fdc.nal.usda.gov/food-search?query=Eggplant+cooked&amp;type=Foundation" TargetMode="External"/><Relationship Id="rId60" Type="http://schemas.openxmlformats.org/officeDocument/2006/relationships/hyperlink" Target="https://fdc.nal.usda.gov/food-search?query=Jicama+raw&amp;type=Foundation" TargetMode="External"/><Relationship Id="rId65" Type="http://schemas.openxmlformats.org/officeDocument/2006/relationships/hyperlink" Target="https://fdc.nal.usda.gov/food-search?query=Yam+%28African+White+Yam%29+cooked&amp;type=Foundation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Relationship Id="rId13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ood-search?query=Carrot+cooked&amp;type=Foundation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ood-search?query=Asparagus+cooked&amp;type=Foundation" TargetMode="External"/><Relationship Id="rId55" Type="http://schemas.openxmlformats.org/officeDocument/2006/relationships/hyperlink" Target="https://fdc.nal.usda.gov/food-search?query=Napa+Cabbage+cooked&amp;type=Foundatio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ood-search?query=Red+Lentils+cooked&amp;type=Foundation" TargetMode="External"/><Relationship Id="rId47" Type="http://schemas.openxmlformats.org/officeDocument/2006/relationships/hyperlink" Target="https://fdc.nal.usda.gov/food-search?query=Adzuki+Beans+cooked&amp;type=Foundation" TargetMode="External"/><Relationship Id="rId63" Type="http://schemas.openxmlformats.org/officeDocument/2006/relationships/hyperlink" Target="https://fdc.nal.usda.gov/food-search?query=Lupin+Bean+cooked&amp;type=Foundation" TargetMode="External"/><Relationship Id="rId68" Type="http://schemas.openxmlformats.org/officeDocument/2006/relationships/hyperlink" Target="https://fdc.nal.usda.gov/food-search?query=Winged+Bean+raw&amp;type=Foundation" TargetMode="External"/><Relationship Id="rId7" Type="http://schemas.openxmlformats.org/officeDocument/2006/relationships/hyperlink" Target="https://fdc.nal.usda.gov/fdc-app.html" TargetMode="External"/><Relationship Id="rId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ood-search?query=Black+Beans+cooked&amp;type=Foundation" TargetMode="External"/><Relationship Id="rId40" Type="http://schemas.openxmlformats.org/officeDocument/2006/relationships/hyperlink" Target="https://fdc.nal.usda.gov/food-search?query=Cannellini+%28White+Kidney%29+cooked&amp;type=Foundation" TargetMode="External"/><Relationship Id="rId45" Type="http://schemas.openxmlformats.org/officeDocument/2006/relationships/hyperlink" Target="https://fdc.nal.usda.gov/food-search?query=Black-eyed+Peas+cooked&amp;type=Foundation" TargetMode="External"/><Relationship Id="rId53" Type="http://schemas.openxmlformats.org/officeDocument/2006/relationships/hyperlink" Target="https://fdc.nal.usda.gov/food-search?query=Masoor+Dal+%28Split+Red%29+raw&amp;type=Foundation" TargetMode="External"/><Relationship Id="rId58" Type="http://schemas.openxmlformats.org/officeDocument/2006/relationships/hyperlink" Target="https://fdc.nal.usda.gov/food-search?query=Chana+Dal+%28Split+Chickpeas%29+raw&amp;type=Foundation" TargetMode="External"/><Relationship Id="rId66" Type="http://schemas.openxmlformats.org/officeDocument/2006/relationships/hyperlink" Target="https://fdc.nal.usda.gov/food-search?query=Horse+Gram+raw&amp;type=Foundation" TargetMode="External"/><Relationship Id="rId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ood-search?query=Bambara+Groundnut+raw&amp;type=Foundation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ood-search?query=Green+Lentils+cooked&amp;type=Foundation" TargetMode="External"/><Relationship Id="rId48" Type="http://schemas.openxmlformats.org/officeDocument/2006/relationships/hyperlink" Target="https://fdc.nal.usda.gov/food-search?query=Mung+Beans+cooked&amp;type=Foundation" TargetMode="External"/><Relationship Id="rId56" Type="http://schemas.openxmlformats.org/officeDocument/2006/relationships/hyperlink" Target="https://fdc.nal.usda.gov/food-search?query=Lima+Beans+cooked&amp;type=Foundation" TargetMode="External"/><Relationship Id="rId64" Type="http://schemas.openxmlformats.org/officeDocument/2006/relationships/hyperlink" Target="https://fdc.nal.usda.gov/food-search?query=Cranberry+%28Borlotti%29+Bean+cooked&amp;type=Foundation" TargetMode="External"/><Relationship Id="rId69" Type="http://schemas.openxmlformats.org/officeDocument/2006/relationships/hyperlink" Target="https://fdc.nal.usda.gov/food-search?query=Scarlet+Runner+Bean+cooked&amp;type=Foundation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ood-search?query=Toor+Dal+%28Pigeon+Peas%29+raw&amp;type=Foundation" TargetMode="External"/><Relationship Id="rId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ood-search?query=Pinto+Beans+cooked&amp;type=Foundation" TargetMode="External"/><Relationship Id="rId46" Type="http://schemas.openxmlformats.org/officeDocument/2006/relationships/hyperlink" Target="https://fdc.nal.usda.gov/food-search?query=Fava+Beans+cooked&amp;type=Foundation" TargetMode="External"/><Relationship Id="rId59" Type="http://schemas.openxmlformats.org/officeDocument/2006/relationships/hyperlink" Target="https://fdc.nal.usda.gov/food-search?query=Tempeh+%28Soy%29+cooked&amp;type=Foundation" TargetMode="External"/><Relationship Id="rId67" Type="http://schemas.openxmlformats.org/officeDocument/2006/relationships/hyperlink" Target="https://fdc.nal.usda.gov/food-search?query=Moth+Beans+raw&amp;type=Foundation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ood-search?query=Brown+Lentils+cooked&amp;type=Foundation" TargetMode="External"/><Relationship Id="rId54" Type="http://schemas.openxmlformats.org/officeDocument/2006/relationships/hyperlink" Target="https://fdc.nal.usda.gov/food-search?query=Rajma+%28Kidney%2C+Indian%29+cooked&amp;type=Foundation" TargetMode="External"/><Relationship Id="rId62" Type="http://schemas.openxmlformats.org/officeDocument/2006/relationships/hyperlink" Target="https://fdc.nal.usda.gov/food-search?query=Tepary+Bean+raw&amp;type=Foundation" TargetMode="External"/><Relationship Id="rId70" Type="http://schemas.openxmlformats.org/officeDocument/2006/relationships/hyperlink" Target="https://fdc.nal.usda.gov/food-search?query=Yellow+Eye+Bean+cooked&amp;type=Foundation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ood-search?query=Chickpeas+%28Garbanzo%29+cooked&amp;type=Foundation" TargetMode="External"/><Relationship Id="rId49" Type="http://schemas.openxmlformats.org/officeDocument/2006/relationships/hyperlink" Target="https://fdc.nal.usda.gov/food-search?query=Soybeans+%28Edamame%29+cooked&amp;type=Foundation" TargetMode="External"/><Relationship Id="rId57" Type="http://schemas.openxmlformats.org/officeDocument/2006/relationships/hyperlink" Target="https://fdc.nal.usda.gov/food-search?query=Great+Northern+Beans+cooked&amp;type=Foundation" TargetMode="External"/><Relationship Id="rId10" Type="http://schemas.openxmlformats.org/officeDocument/2006/relationships/hyperlink" Target="https://fdc.nal.usda.gov/fdc-app.html" TargetMode="External"/><Relationship Id="rId31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ood-search?query=Split+Peas+%28Green%29+cooked&amp;type=Foundation" TargetMode="External"/><Relationship Id="rId52" Type="http://schemas.openxmlformats.org/officeDocument/2006/relationships/hyperlink" Target="https://fdc.nal.usda.gov/food-search?query=Moong+Dal+%28Split+Mung%29+raw&amp;type=Foundation" TargetMode="External"/><Relationship Id="rId60" Type="http://schemas.openxmlformats.org/officeDocument/2006/relationships/hyperlink" Target="https://fdc.nal.usda.gov/food-search?query=Tofu+%28Soy%29+cooked&amp;type=Foundation" TargetMode="External"/><Relationship Id="rId65" Type="http://schemas.openxmlformats.org/officeDocument/2006/relationships/hyperlink" Target="https://fdc.nal.usda.gov/food-search?query=Yellow+Split+Peas+raw&amp;type=Foundation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Relationship Id="rId13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ood-search?query=Kidney+Beans+cooked&amp;type=Foundation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ood-search?query=Urad+Dal+%28Black+Gram%29+raw&amp;type=Foundation" TargetMode="External"/><Relationship Id="rId55" Type="http://schemas.openxmlformats.org/officeDocument/2006/relationships/hyperlink" Target="https://fdc.nal.usda.gov/food-search?query=Navy+Beans+cooked&amp;type=Foundation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ood-search?query=Pork+Chop+cooked&amp;type=Foundation" TargetMode="External"/><Relationship Id="rId47" Type="http://schemas.openxmlformats.org/officeDocument/2006/relationships/hyperlink" Target="https://fdc.nal.usda.gov/food-search?query=Goat+cooked&amp;type=Foundation" TargetMode="External"/><Relationship Id="rId63" Type="http://schemas.openxmlformats.org/officeDocument/2006/relationships/hyperlink" Target="https://fdc.nal.usda.gov/food-search?query=Rabbit+cooked&amp;type=Foundation" TargetMode="External"/><Relationship Id="rId68" Type="http://schemas.openxmlformats.org/officeDocument/2006/relationships/hyperlink" Target="https://fdc.nal.usda.gov/food-search?query=Pork+Belly&amp;type=Foundation" TargetMode="External"/><Relationship Id="rId7" Type="http://schemas.openxmlformats.org/officeDocument/2006/relationships/hyperlink" Target="https://fdc.nal.usda.gov/fdc-app.html" TargetMode="External"/><Relationship Id="rId71" Type="http://schemas.openxmlformats.org/officeDocument/2006/relationships/hyperlink" Target="https://fdc.nal.usda.gov/food-search?query=Octopus+cooked&amp;type=Foundation" TargetMode="External"/><Relationship Id="rId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ood-search?query=Chicken+Breast+cooked&amp;type=Foundation" TargetMode="External"/><Relationship Id="rId40" Type="http://schemas.openxmlformats.org/officeDocument/2006/relationships/hyperlink" Target="https://fdc.nal.usda.gov/food-search?query=Beef+Steak+cooked&amp;type=Foundation" TargetMode="External"/><Relationship Id="rId45" Type="http://schemas.openxmlformats.org/officeDocument/2006/relationships/hyperlink" Target="https://fdc.nal.usda.gov/food-search?query=Sausage&amp;type=Foundation" TargetMode="External"/><Relationship Id="rId53" Type="http://schemas.openxmlformats.org/officeDocument/2006/relationships/hyperlink" Target="https://fdc.nal.usda.gov/food-search?query=Lobster+cooked&amp;type=Foundation" TargetMode="External"/><Relationship Id="rId58" Type="http://schemas.openxmlformats.org/officeDocument/2006/relationships/hyperlink" Target="https://fdc.nal.usda.gov/food-search?query=Mackerel+cooked&amp;type=Foundation" TargetMode="External"/><Relationship Id="rId66" Type="http://schemas.openxmlformats.org/officeDocument/2006/relationships/hyperlink" Target="https://fdc.nal.usda.gov/food-search?query=Pheasant+cooked&amp;type=Foundation" TargetMode="External"/><Relationship Id="rId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ood-search?query=Mussels+cooked&amp;type=Foundation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ood-search?query=Bacon&amp;type=Foundation" TargetMode="External"/><Relationship Id="rId48" Type="http://schemas.openxmlformats.org/officeDocument/2006/relationships/hyperlink" Target="https://fdc.nal.usda.gov/food-search?query=Duck+cooked&amp;type=Foundation" TargetMode="External"/><Relationship Id="rId56" Type="http://schemas.openxmlformats.org/officeDocument/2006/relationships/hyperlink" Target="https://fdc.nal.usda.gov/food-search?query=Trout+cooked&amp;type=Foundation" TargetMode="External"/><Relationship Id="rId64" Type="http://schemas.openxmlformats.org/officeDocument/2006/relationships/hyperlink" Target="https://fdc.nal.usda.gov/food-search?query=Venison+cooked&amp;type=Foundation" TargetMode="External"/><Relationship Id="rId69" Type="http://schemas.openxmlformats.org/officeDocument/2006/relationships/hyperlink" Target="https://fdc.nal.usda.gov/food-search?query=Prosciutto&amp;type=Foundation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ood-search?query=Shrimp+cooked&amp;type=Foundation" TargetMode="External"/><Relationship Id="rId72" Type="http://schemas.openxmlformats.org/officeDocument/2006/relationships/hyperlink" Target="https://fdc.nal.usda.gov/food-search?query=Herring+cooked&amp;type=Foundation" TargetMode="External"/><Relationship Id="rId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ood-search?query=Chicken+Thigh+cooked&amp;type=Foundation" TargetMode="External"/><Relationship Id="rId46" Type="http://schemas.openxmlformats.org/officeDocument/2006/relationships/hyperlink" Target="https://fdc.nal.usda.gov/food-search?query=Lamb+cooked&amp;type=Foundation" TargetMode="External"/><Relationship Id="rId59" Type="http://schemas.openxmlformats.org/officeDocument/2006/relationships/hyperlink" Target="https://fdc.nal.usda.gov/food-search?query=Anchovies+cooked&amp;type=Foundation" TargetMode="External"/><Relationship Id="rId67" Type="http://schemas.openxmlformats.org/officeDocument/2006/relationships/hyperlink" Target="https://fdc.nal.usda.gov/food-search?query=Goose+cooked&amp;type=Foundation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ood-search?query=Ground+Beef+cooked&amp;type=Foundation" TargetMode="External"/><Relationship Id="rId54" Type="http://schemas.openxmlformats.org/officeDocument/2006/relationships/hyperlink" Target="https://fdc.nal.usda.gov/food-search?query=Cod+cooked&amp;type=Foundation" TargetMode="External"/><Relationship Id="rId62" Type="http://schemas.openxmlformats.org/officeDocument/2006/relationships/hyperlink" Target="https://fdc.nal.usda.gov/food-search?query=Quail+cooked&amp;type=Foundation" TargetMode="External"/><Relationship Id="rId70" Type="http://schemas.openxmlformats.org/officeDocument/2006/relationships/hyperlink" Target="https://fdc.nal.usda.gov/food-search?query=Salami&amp;type=Foundation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dc-app.html" TargetMode="External"/><Relationship Id="rId49" Type="http://schemas.openxmlformats.org/officeDocument/2006/relationships/hyperlink" Target="https://fdc.nal.usda.gov/food-search?query=Salmon+cooked&amp;type=Foundation" TargetMode="External"/><Relationship Id="rId57" Type="http://schemas.openxmlformats.org/officeDocument/2006/relationships/hyperlink" Target="https://fdc.nal.usda.gov/food-search?query=Sardines+cooked&amp;type=Foundation" TargetMode="External"/><Relationship Id="rId10" Type="http://schemas.openxmlformats.org/officeDocument/2006/relationships/hyperlink" Target="https://fdc.nal.usda.gov/fdc-app.html" TargetMode="External"/><Relationship Id="rId31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ood-search?query=Ham&amp;type=Foundation" TargetMode="External"/><Relationship Id="rId52" Type="http://schemas.openxmlformats.org/officeDocument/2006/relationships/hyperlink" Target="https://fdc.nal.usda.gov/food-search?query=Crab+cooked&amp;type=Foundation" TargetMode="External"/><Relationship Id="rId60" Type="http://schemas.openxmlformats.org/officeDocument/2006/relationships/hyperlink" Target="https://fdc.nal.usda.gov/food-search?query=Scallops+cooked&amp;type=Foundation" TargetMode="External"/><Relationship Id="rId65" Type="http://schemas.openxmlformats.org/officeDocument/2006/relationships/hyperlink" Target="https://fdc.nal.usda.gov/food-search?query=Bison+cooked&amp;type=Foundation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Relationship Id="rId13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ood-search?query=Turkey+cooked&amp;type=Foundation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ood-search?query=Tuna+cooked&amp;type=Foundation" TargetMode="External"/><Relationship Id="rId55" Type="http://schemas.openxmlformats.org/officeDocument/2006/relationships/hyperlink" Target="https://fdc.nal.usda.gov/food-search?query=Tilapia+cooked&amp;type=Foundatio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ood-search?query=Penne+cooked&amp;type=Foundation" TargetMode="External"/><Relationship Id="rId47" Type="http://schemas.openxmlformats.org/officeDocument/2006/relationships/hyperlink" Target="https://fdc.nal.usda.gov/food-search?query=Sourdough+Bread&amp;type=Foundation" TargetMode="External"/><Relationship Id="rId63" Type="http://schemas.openxmlformats.org/officeDocument/2006/relationships/hyperlink" Target="https://fdc.nal.usda.gov/food-search?query=Soba+Noodles+cooked&amp;type=Foundation" TargetMode="External"/><Relationship Id="rId68" Type="http://schemas.openxmlformats.org/officeDocument/2006/relationships/hyperlink" Target="https://fdc.nal.usda.gov/food-search?query=Chapati%2FRoti&amp;type=Foundation" TargetMode="External"/><Relationship Id="rId7" Type="http://schemas.openxmlformats.org/officeDocument/2006/relationships/hyperlink" Target="https://fdc.nal.usda.gov/fdc-app.html" TargetMode="External"/><Relationship Id="rId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ood-search?query=Brown+Rice+cooked&amp;type=Foundation" TargetMode="External"/><Relationship Id="rId40" Type="http://schemas.openxmlformats.org/officeDocument/2006/relationships/hyperlink" Target="https://fdc.nal.usda.gov/food-search?query=Arborio+Rice+%28Risotto%29+cooked&amp;type=Foundation" TargetMode="External"/><Relationship Id="rId45" Type="http://schemas.openxmlformats.org/officeDocument/2006/relationships/hyperlink" Target="https://fdc.nal.usda.gov/food-search?query=White+Bread&amp;type=Foundation" TargetMode="External"/><Relationship Id="rId53" Type="http://schemas.openxmlformats.org/officeDocument/2006/relationships/hyperlink" Target="https://fdc.nal.usda.gov/food-search?query=Bagel&amp;type=Foundation" TargetMode="External"/><Relationship Id="rId58" Type="http://schemas.openxmlformats.org/officeDocument/2006/relationships/hyperlink" Target="https://fdc.nal.usda.gov/food-search?query=Oats%2FOatmeal+cooked&amp;type=Foundation" TargetMode="External"/><Relationship Id="rId66" Type="http://schemas.openxmlformats.org/officeDocument/2006/relationships/hyperlink" Target="https://fdc.nal.usda.gov/food-search?query=Grits+cooked&amp;type=Foundation" TargetMode="External"/><Relationship Id="rId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ood-search?query=Buckwheat+%28Kasha%2FSoba%29+cooked&amp;type=Foundation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ood-search?query=Macaroni+cooked&amp;type=Foundation" TargetMode="External"/><Relationship Id="rId48" Type="http://schemas.openxmlformats.org/officeDocument/2006/relationships/hyperlink" Target="https://fdc.nal.usda.gov/food-search?query=Rye+Bread&amp;type=Foundation" TargetMode="External"/><Relationship Id="rId56" Type="http://schemas.openxmlformats.org/officeDocument/2006/relationships/hyperlink" Target="https://fdc.nal.usda.gov/food-search?query=Quinoa+cooked&amp;type=Foundation" TargetMode="External"/><Relationship Id="rId64" Type="http://schemas.openxmlformats.org/officeDocument/2006/relationships/hyperlink" Target="https://fdc.nal.usda.gov/food-search?query=Rice+Noodles+cooked&amp;type=Foundation" TargetMode="External"/><Relationship Id="rId69" Type="http://schemas.openxmlformats.org/officeDocument/2006/relationships/hyperlink" Target="https://fdc.nal.usda.gov/food-search?query=Injera+%28Teff+Flatbread%29&amp;type=Foundation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ood-search?query=Flour+Tortilla&amp;type=Foundation" TargetMode="External"/><Relationship Id="rId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ood-search?query=Basmati+Rice+cooked&amp;type=Foundation" TargetMode="External"/><Relationship Id="rId46" Type="http://schemas.openxmlformats.org/officeDocument/2006/relationships/hyperlink" Target="https://fdc.nal.usda.gov/food-search?query=Whole+Wheat+Bread&amp;type=Foundation" TargetMode="External"/><Relationship Id="rId59" Type="http://schemas.openxmlformats.org/officeDocument/2006/relationships/hyperlink" Target="https://fdc.nal.usda.gov/food-search?query=Barley+cooked&amp;type=Foundation" TargetMode="External"/><Relationship Id="rId67" Type="http://schemas.openxmlformats.org/officeDocument/2006/relationships/hyperlink" Target="https://fdc.nal.usda.gov/food-search?query=Paratha&amp;type=Foundation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ood-search?query=Spaghetti+cooked&amp;type=Foundation" TargetMode="External"/><Relationship Id="rId54" Type="http://schemas.openxmlformats.org/officeDocument/2006/relationships/hyperlink" Target="https://fdc.nal.usda.gov/food-search?query=Croissant&amp;type=Foundation" TargetMode="External"/><Relationship Id="rId62" Type="http://schemas.openxmlformats.org/officeDocument/2006/relationships/hyperlink" Target="https://fdc.nal.usda.gov/food-search?query=Udon+Noodles+cooked&amp;type=Foundation" TargetMode="External"/><Relationship Id="rId70" Type="http://schemas.openxmlformats.org/officeDocument/2006/relationships/hyperlink" Target="https://fdc.nal.usda.gov/food-search?query=Matzo&amp;type=Foundation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ood-search?query=White+Rice+cooked&amp;type=Foundation" TargetMode="External"/><Relationship Id="rId49" Type="http://schemas.openxmlformats.org/officeDocument/2006/relationships/hyperlink" Target="https://fdc.nal.usda.gov/food-search?query=Naan&amp;type=Foundation" TargetMode="External"/><Relationship Id="rId57" Type="http://schemas.openxmlformats.org/officeDocument/2006/relationships/hyperlink" Target="https://fdc.nal.usda.gov/food-search?query=Couscous+cooked&amp;type=Foundation" TargetMode="External"/><Relationship Id="rId10" Type="http://schemas.openxmlformats.org/officeDocument/2006/relationships/hyperlink" Target="https://fdc.nal.usda.gov/fdc-app.html" TargetMode="External"/><Relationship Id="rId31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ood-search?query=Lasagna+Noodles+cooked&amp;type=Foundation" TargetMode="External"/><Relationship Id="rId52" Type="http://schemas.openxmlformats.org/officeDocument/2006/relationships/hyperlink" Target="https://fdc.nal.usda.gov/food-search?query=Pita+Bread&amp;type=Foundation" TargetMode="External"/><Relationship Id="rId60" Type="http://schemas.openxmlformats.org/officeDocument/2006/relationships/hyperlink" Target="https://fdc.nal.usda.gov/food-search?query=Millet+cooked&amp;type=Foundation" TargetMode="External"/><Relationship Id="rId65" Type="http://schemas.openxmlformats.org/officeDocument/2006/relationships/hyperlink" Target="https://fdc.nal.usda.gov/food-search?query=Polenta+%28Cornmeal%29+cooked&amp;type=Foundation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Relationship Id="rId13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ood-search?query=Jasmine+Rice+cooked&amp;type=Foundation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ood-search?query=Corn+Tortilla&amp;type=Foundation" TargetMode="External"/><Relationship Id="rId55" Type="http://schemas.openxmlformats.org/officeDocument/2006/relationships/hyperlink" Target="https://fdc.nal.usda.gov/food-search?query=Baguette&amp;type=Found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C9D0"/>
  </sheetPr>
  <dimension ref="A1:N36"/>
  <sheetViews>
    <sheetView tabSelected="1" topLeftCell="E1" workbookViewId="0">
      <selection activeCell="H23" sqref="H23"/>
    </sheetView>
  </sheetViews>
  <sheetFormatPr defaultRowHeight="14.4" x14ac:dyDescent="0.3"/>
  <cols>
    <col min="1" max="1" width="18.5546875" bestFit="1" customWidth="1"/>
    <col min="2" max="2" width="10.5546875" bestFit="1" customWidth="1"/>
    <col min="3" max="3" width="19.21875" bestFit="1" customWidth="1"/>
    <col min="4" max="4" width="20" bestFit="1" customWidth="1"/>
    <col min="5" max="5" width="13.21875" bestFit="1" customWidth="1"/>
    <col min="6" max="6" width="14.5546875" bestFit="1" customWidth="1"/>
    <col min="7" max="7" width="11.109375" bestFit="1" customWidth="1"/>
    <col min="8" max="8" width="12.5546875" bestFit="1" customWidth="1"/>
    <col min="9" max="9" width="26.44140625" bestFit="1" customWidth="1"/>
    <col min="10" max="10" width="22.77734375" bestFit="1" customWidth="1"/>
    <col min="11" max="11" width="12.88671875" bestFit="1" customWidth="1"/>
    <col min="12" max="12" width="36.6640625" bestFit="1" customWidth="1"/>
    <col min="13" max="13" width="34.6640625" bestFit="1" customWidth="1"/>
    <col min="14" max="14" width="14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322</v>
      </c>
      <c r="M1" s="2" t="s">
        <v>323</v>
      </c>
      <c r="N1" t="s">
        <v>10</v>
      </c>
    </row>
    <row r="2" spans="1:14" ht="15.6" x14ac:dyDescent="0.3">
      <c r="A2" t="s">
        <v>11</v>
      </c>
      <c r="B2" t="s">
        <v>12</v>
      </c>
      <c r="C2" t="s">
        <v>13</v>
      </c>
      <c r="D2" t="s">
        <v>14</v>
      </c>
      <c r="E2">
        <v>13.8</v>
      </c>
      <c r="F2">
        <v>0.26</v>
      </c>
      <c r="G2">
        <v>0.17</v>
      </c>
      <c r="H2">
        <v>2.4</v>
      </c>
      <c r="I2">
        <f>ROUND(4*E2+4*F2+9*G2,0)</f>
        <v>58</v>
      </c>
      <c r="J2">
        <v>52</v>
      </c>
      <c r="K2" s="1" t="s">
        <v>15</v>
      </c>
      <c r="L2" t="s">
        <v>324</v>
      </c>
      <c r="M2" t="s">
        <v>325</v>
      </c>
      <c r="N2" s="1" t="s">
        <v>394</v>
      </c>
    </row>
    <row r="3" spans="1:14" ht="15.6" x14ac:dyDescent="0.3">
      <c r="A3" t="s">
        <v>16</v>
      </c>
      <c r="B3" t="s">
        <v>12</v>
      </c>
      <c r="C3" t="s">
        <v>17</v>
      </c>
      <c r="D3" t="s">
        <v>18</v>
      </c>
      <c r="E3">
        <v>22.8</v>
      </c>
      <c r="F3">
        <v>1.0900000000000001</v>
      </c>
      <c r="G3">
        <v>0.33</v>
      </c>
      <c r="H3">
        <v>2.6</v>
      </c>
      <c r="I3">
        <f t="shared" ref="I2:I36" si="0">ROUND(4*E3+4*F3+9*G3,0)</f>
        <v>99</v>
      </c>
      <c r="J3">
        <v>89</v>
      </c>
      <c r="K3" s="1" t="s">
        <v>15</v>
      </c>
      <c r="L3" t="s">
        <v>326</v>
      </c>
      <c r="M3" t="s">
        <v>327</v>
      </c>
      <c r="N3" s="1" t="s">
        <v>394</v>
      </c>
    </row>
    <row r="4" spans="1:14" ht="15.6" x14ac:dyDescent="0.3">
      <c r="A4" t="s">
        <v>19</v>
      </c>
      <c r="B4" t="s">
        <v>12</v>
      </c>
      <c r="C4" t="s">
        <v>17</v>
      </c>
      <c r="D4" t="s">
        <v>20</v>
      </c>
      <c r="E4">
        <v>11.8</v>
      </c>
      <c r="F4">
        <v>0.9</v>
      </c>
      <c r="G4">
        <v>0.1</v>
      </c>
      <c r="H4">
        <v>2.4</v>
      </c>
      <c r="I4">
        <f t="shared" si="0"/>
        <v>52</v>
      </c>
      <c r="J4">
        <v>47</v>
      </c>
      <c r="K4" s="1" t="s">
        <v>15</v>
      </c>
      <c r="L4" t="s">
        <v>328</v>
      </c>
      <c r="M4" t="s">
        <v>329</v>
      </c>
      <c r="N4" s="1" t="s">
        <v>394</v>
      </c>
    </row>
    <row r="5" spans="1:14" ht="15.6" x14ac:dyDescent="0.3">
      <c r="A5" t="s">
        <v>21</v>
      </c>
      <c r="B5" t="s">
        <v>12</v>
      </c>
      <c r="C5" t="s">
        <v>17</v>
      </c>
      <c r="D5" t="s">
        <v>22</v>
      </c>
      <c r="E5">
        <v>7.7</v>
      </c>
      <c r="F5">
        <v>0.8</v>
      </c>
      <c r="G5">
        <v>0.3</v>
      </c>
      <c r="H5">
        <v>2</v>
      </c>
      <c r="I5">
        <f t="shared" si="0"/>
        <v>37</v>
      </c>
      <c r="J5">
        <v>32</v>
      </c>
      <c r="K5" s="1" t="s">
        <v>15</v>
      </c>
      <c r="L5" t="s">
        <v>330</v>
      </c>
      <c r="M5" t="s">
        <v>331</v>
      </c>
      <c r="N5" s="1" t="s">
        <v>394</v>
      </c>
    </row>
    <row r="6" spans="1:14" ht="15.6" x14ac:dyDescent="0.3">
      <c r="A6" t="s">
        <v>23</v>
      </c>
      <c r="B6" t="s">
        <v>12</v>
      </c>
      <c r="C6" t="s">
        <v>17</v>
      </c>
      <c r="D6" t="s">
        <v>24</v>
      </c>
      <c r="E6">
        <v>14.5</v>
      </c>
      <c r="F6">
        <v>0.7</v>
      </c>
      <c r="G6">
        <v>0.3</v>
      </c>
      <c r="H6">
        <v>2.4</v>
      </c>
      <c r="I6">
        <f t="shared" si="0"/>
        <v>64</v>
      </c>
      <c r="J6">
        <v>57</v>
      </c>
      <c r="K6" s="1" t="s">
        <v>15</v>
      </c>
      <c r="L6" t="s">
        <v>332</v>
      </c>
      <c r="M6" t="s">
        <v>333</v>
      </c>
      <c r="N6" s="1" t="s">
        <v>394</v>
      </c>
    </row>
    <row r="7" spans="1:14" ht="15.6" x14ac:dyDescent="0.3">
      <c r="A7" t="s">
        <v>25</v>
      </c>
      <c r="B7" t="s">
        <v>12</v>
      </c>
      <c r="C7" t="s">
        <v>26</v>
      </c>
      <c r="D7" t="s">
        <v>24</v>
      </c>
      <c r="E7">
        <v>18.100000000000001</v>
      </c>
      <c r="F7">
        <v>0.7</v>
      </c>
      <c r="G7">
        <v>0.2</v>
      </c>
      <c r="H7">
        <v>0.9</v>
      </c>
      <c r="I7">
        <f t="shared" si="0"/>
        <v>77</v>
      </c>
      <c r="J7">
        <v>69</v>
      </c>
      <c r="K7" s="1" t="s">
        <v>15</v>
      </c>
      <c r="L7" t="s">
        <v>334</v>
      </c>
      <c r="M7" t="s">
        <v>335</v>
      </c>
      <c r="N7" s="1" t="s">
        <v>394</v>
      </c>
    </row>
    <row r="8" spans="1:14" ht="15.6" x14ac:dyDescent="0.3">
      <c r="A8" t="s">
        <v>27</v>
      </c>
      <c r="B8" t="s">
        <v>12</v>
      </c>
      <c r="C8" t="s">
        <v>28</v>
      </c>
      <c r="D8" t="s">
        <v>29</v>
      </c>
      <c r="E8">
        <v>13.1</v>
      </c>
      <c r="F8">
        <v>0.5</v>
      </c>
      <c r="G8">
        <v>0.1</v>
      </c>
      <c r="H8">
        <v>1.4</v>
      </c>
      <c r="I8">
        <f t="shared" si="0"/>
        <v>55</v>
      </c>
      <c r="J8">
        <v>50</v>
      </c>
      <c r="K8" s="1" t="s">
        <v>15</v>
      </c>
      <c r="L8" t="s">
        <v>336</v>
      </c>
      <c r="M8" t="s">
        <v>337</v>
      </c>
      <c r="N8" s="1" t="s">
        <v>394</v>
      </c>
    </row>
    <row r="9" spans="1:14" ht="15.6" x14ac:dyDescent="0.3">
      <c r="A9" t="s">
        <v>30</v>
      </c>
      <c r="B9" t="s">
        <v>12</v>
      </c>
      <c r="C9" t="s">
        <v>31</v>
      </c>
      <c r="D9" t="s">
        <v>32</v>
      </c>
      <c r="E9">
        <v>15</v>
      </c>
      <c r="F9">
        <v>0.8</v>
      </c>
      <c r="G9">
        <v>0.4</v>
      </c>
      <c r="H9">
        <v>1.6</v>
      </c>
      <c r="I9">
        <f t="shared" si="0"/>
        <v>67</v>
      </c>
      <c r="J9">
        <v>60</v>
      </c>
      <c r="K9" s="1" t="s">
        <v>15</v>
      </c>
      <c r="L9" t="s">
        <v>338</v>
      </c>
      <c r="M9" t="s">
        <v>339</v>
      </c>
      <c r="N9" s="1" t="s">
        <v>394</v>
      </c>
    </row>
    <row r="10" spans="1:14" ht="15.6" x14ac:dyDescent="0.3">
      <c r="A10" t="s">
        <v>33</v>
      </c>
      <c r="B10" t="s">
        <v>12</v>
      </c>
      <c r="C10" t="s">
        <v>34</v>
      </c>
      <c r="D10" t="s">
        <v>14</v>
      </c>
      <c r="E10">
        <v>14.7</v>
      </c>
      <c r="F10">
        <v>1.1000000000000001</v>
      </c>
      <c r="G10">
        <v>0.5</v>
      </c>
      <c r="H10">
        <v>3</v>
      </c>
      <c r="I10">
        <f t="shared" si="0"/>
        <v>68</v>
      </c>
      <c r="J10">
        <v>61</v>
      </c>
      <c r="K10" s="1" t="s">
        <v>15</v>
      </c>
      <c r="L10" t="s">
        <v>340</v>
      </c>
      <c r="M10" t="s">
        <v>341</v>
      </c>
      <c r="N10" s="1" t="s">
        <v>394</v>
      </c>
    </row>
    <row r="11" spans="1:14" ht="15.6" x14ac:dyDescent="0.3">
      <c r="A11" t="s">
        <v>35</v>
      </c>
      <c r="B11" t="s">
        <v>12</v>
      </c>
      <c r="C11" t="s">
        <v>13</v>
      </c>
      <c r="D11" t="s">
        <v>36</v>
      </c>
      <c r="E11">
        <v>15.2</v>
      </c>
      <c r="F11">
        <v>0.4</v>
      </c>
      <c r="G11">
        <v>0.1</v>
      </c>
      <c r="H11">
        <v>3.1</v>
      </c>
      <c r="I11">
        <f t="shared" si="0"/>
        <v>63</v>
      </c>
      <c r="J11">
        <v>57</v>
      </c>
      <c r="K11" s="1" t="s">
        <v>15</v>
      </c>
      <c r="L11" t="s">
        <v>342</v>
      </c>
      <c r="M11" t="s">
        <v>343</v>
      </c>
      <c r="N11" s="1" t="s">
        <v>394</v>
      </c>
    </row>
    <row r="12" spans="1:14" ht="15.6" x14ac:dyDescent="0.3">
      <c r="A12" t="s">
        <v>37</v>
      </c>
      <c r="B12" t="s">
        <v>12</v>
      </c>
      <c r="C12" t="s">
        <v>17</v>
      </c>
      <c r="D12" t="s">
        <v>38</v>
      </c>
      <c r="E12">
        <v>9.5</v>
      </c>
      <c r="F12">
        <v>0.9</v>
      </c>
      <c r="G12">
        <v>0.1</v>
      </c>
      <c r="H12">
        <v>1.5</v>
      </c>
      <c r="I12">
        <f t="shared" si="0"/>
        <v>43</v>
      </c>
      <c r="J12">
        <v>39</v>
      </c>
      <c r="K12" s="1" t="s">
        <v>15</v>
      </c>
      <c r="L12" t="s">
        <v>344</v>
      </c>
      <c r="M12" t="s">
        <v>345</v>
      </c>
      <c r="N12" s="1" t="s">
        <v>394</v>
      </c>
    </row>
    <row r="13" spans="1:14" ht="15.6" x14ac:dyDescent="0.3">
      <c r="A13" t="s">
        <v>39</v>
      </c>
      <c r="B13" t="s">
        <v>12</v>
      </c>
      <c r="C13" t="s">
        <v>13</v>
      </c>
      <c r="D13" t="s">
        <v>40</v>
      </c>
      <c r="E13">
        <v>16</v>
      </c>
      <c r="F13">
        <v>1.1000000000000001</v>
      </c>
      <c r="G13">
        <v>0.2</v>
      </c>
      <c r="H13">
        <v>2.1</v>
      </c>
      <c r="I13">
        <f t="shared" si="0"/>
        <v>70</v>
      </c>
      <c r="J13">
        <v>63</v>
      </c>
      <c r="K13" s="1" t="s">
        <v>15</v>
      </c>
      <c r="L13" t="s">
        <v>346</v>
      </c>
      <c r="M13" t="s">
        <v>347</v>
      </c>
      <c r="N13" s="1" t="s">
        <v>394</v>
      </c>
    </row>
    <row r="14" spans="1:14" ht="15.6" x14ac:dyDescent="0.3">
      <c r="A14" t="s">
        <v>41</v>
      </c>
      <c r="B14" t="s">
        <v>12</v>
      </c>
      <c r="C14" t="s">
        <v>17</v>
      </c>
      <c r="D14" t="s">
        <v>42</v>
      </c>
      <c r="E14">
        <v>7.6</v>
      </c>
      <c r="F14">
        <v>0.6</v>
      </c>
      <c r="G14">
        <v>0.2</v>
      </c>
      <c r="H14">
        <v>0.4</v>
      </c>
      <c r="I14">
        <f t="shared" si="0"/>
        <v>35</v>
      </c>
      <c r="J14">
        <v>30</v>
      </c>
      <c r="K14" s="1" t="s">
        <v>15</v>
      </c>
      <c r="L14" t="s">
        <v>348</v>
      </c>
      <c r="M14" t="s">
        <v>349</v>
      </c>
      <c r="N14" s="1" t="s">
        <v>394</v>
      </c>
    </row>
    <row r="15" spans="1:14" ht="15.6" x14ac:dyDescent="0.3">
      <c r="A15" t="s">
        <v>43</v>
      </c>
      <c r="B15" t="s">
        <v>12</v>
      </c>
      <c r="C15" t="s">
        <v>17</v>
      </c>
      <c r="D15" t="s">
        <v>32</v>
      </c>
      <c r="E15">
        <v>8.1999999999999993</v>
      </c>
      <c r="F15">
        <v>0.8</v>
      </c>
      <c r="G15">
        <v>0.2</v>
      </c>
      <c r="H15">
        <v>0.9</v>
      </c>
      <c r="I15">
        <f t="shared" si="0"/>
        <v>38</v>
      </c>
      <c r="J15">
        <v>34</v>
      </c>
      <c r="K15" s="1" t="s">
        <v>15</v>
      </c>
      <c r="L15" t="s">
        <v>350</v>
      </c>
      <c r="M15" t="s">
        <v>351</v>
      </c>
      <c r="N15" s="1" t="s">
        <v>394</v>
      </c>
    </row>
    <row r="16" spans="1:14" ht="15.6" x14ac:dyDescent="0.3">
      <c r="A16" t="s">
        <v>44</v>
      </c>
      <c r="B16" t="s">
        <v>12</v>
      </c>
      <c r="C16" t="s">
        <v>17</v>
      </c>
      <c r="D16" t="s">
        <v>45</v>
      </c>
      <c r="E16">
        <v>9.1</v>
      </c>
      <c r="F16">
        <v>0.5</v>
      </c>
      <c r="G16">
        <v>0.1</v>
      </c>
      <c r="H16">
        <v>0.8</v>
      </c>
      <c r="I16">
        <f t="shared" si="0"/>
        <v>39</v>
      </c>
      <c r="J16">
        <v>36</v>
      </c>
      <c r="K16" s="1" t="s">
        <v>15</v>
      </c>
      <c r="L16" t="s">
        <v>352</v>
      </c>
      <c r="M16" t="s">
        <v>353</v>
      </c>
      <c r="N16" s="1" t="s">
        <v>394</v>
      </c>
    </row>
    <row r="17" spans="1:14" ht="15.6" x14ac:dyDescent="0.3">
      <c r="A17" t="s">
        <v>46</v>
      </c>
      <c r="B17" t="s">
        <v>12</v>
      </c>
      <c r="C17" t="s">
        <v>13</v>
      </c>
      <c r="D17" t="s">
        <v>45</v>
      </c>
      <c r="E17">
        <v>11.4</v>
      </c>
      <c r="F17">
        <v>0.7</v>
      </c>
      <c r="G17">
        <v>0.3</v>
      </c>
      <c r="H17">
        <v>1.4</v>
      </c>
      <c r="I17">
        <f t="shared" si="0"/>
        <v>51</v>
      </c>
      <c r="J17">
        <v>46</v>
      </c>
      <c r="K17" s="1" t="s">
        <v>15</v>
      </c>
      <c r="L17" t="s">
        <v>354</v>
      </c>
      <c r="M17" t="s">
        <v>355</v>
      </c>
      <c r="N17" s="1" t="s">
        <v>394</v>
      </c>
    </row>
    <row r="18" spans="1:14" ht="15.6" x14ac:dyDescent="0.3">
      <c r="A18" t="s">
        <v>47</v>
      </c>
      <c r="B18" t="s">
        <v>12</v>
      </c>
      <c r="C18" t="s">
        <v>48</v>
      </c>
      <c r="D18" t="s">
        <v>49</v>
      </c>
      <c r="E18">
        <v>11.1</v>
      </c>
      <c r="F18">
        <v>1.4</v>
      </c>
      <c r="G18">
        <v>0.4</v>
      </c>
      <c r="H18">
        <v>2</v>
      </c>
      <c r="I18">
        <f t="shared" si="0"/>
        <v>54</v>
      </c>
      <c r="J18">
        <v>48</v>
      </c>
      <c r="K18" s="1" t="s">
        <v>15</v>
      </c>
      <c r="L18" t="s">
        <v>356</v>
      </c>
      <c r="M18" t="s">
        <v>357</v>
      </c>
      <c r="N18" s="1" t="s">
        <v>394</v>
      </c>
    </row>
    <row r="19" spans="1:14" ht="15.6" x14ac:dyDescent="0.3">
      <c r="A19" t="s">
        <v>50</v>
      </c>
      <c r="B19" t="s">
        <v>12</v>
      </c>
      <c r="C19" t="s">
        <v>17</v>
      </c>
      <c r="D19" t="s">
        <v>51</v>
      </c>
      <c r="E19">
        <v>10.7</v>
      </c>
      <c r="F19">
        <v>0.8</v>
      </c>
      <c r="G19">
        <v>0.1</v>
      </c>
      <c r="H19">
        <v>1.6</v>
      </c>
      <c r="I19">
        <f t="shared" si="0"/>
        <v>47</v>
      </c>
      <c r="J19">
        <v>42</v>
      </c>
      <c r="K19" s="1" t="s">
        <v>15</v>
      </c>
      <c r="L19" t="s">
        <v>358</v>
      </c>
      <c r="M19" t="s">
        <v>359</v>
      </c>
      <c r="N19" s="1" t="s">
        <v>394</v>
      </c>
    </row>
    <row r="20" spans="1:14" ht="15.6" x14ac:dyDescent="0.3">
      <c r="A20" t="s">
        <v>52</v>
      </c>
      <c r="B20" t="s">
        <v>12</v>
      </c>
      <c r="C20" t="s">
        <v>53</v>
      </c>
      <c r="D20" t="s">
        <v>40</v>
      </c>
      <c r="E20">
        <v>18.7</v>
      </c>
      <c r="F20">
        <v>1.7</v>
      </c>
      <c r="G20">
        <v>1.2</v>
      </c>
      <c r="H20">
        <v>4</v>
      </c>
      <c r="I20">
        <f t="shared" si="0"/>
        <v>92</v>
      </c>
      <c r="J20">
        <v>83</v>
      </c>
      <c r="K20" s="1" t="s">
        <v>15</v>
      </c>
      <c r="L20" t="s">
        <v>360</v>
      </c>
      <c r="M20" t="s">
        <v>361</v>
      </c>
      <c r="N20" s="1" t="s">
        <v>394</v>
      </c>
    </row>
    <row r="21" spans="1:14" ht="15.6" x14ac:dyDescent="0.3">
      <c r="A21" t="s">
        <v>54</v>
      </c>
      <c r="B21" t="s">
        <v>12</v>
      </c>
      <c r="C21" t="s">
        <v>55</v>
      </c>
      <c r="D21" t="s">
        <v>20</v>
      </c>
      <c r="E21">
        <v>13.3</v>
      </c>
      <c r="F21">
        <v>0.8</v>
      </c>
      <c r="G21">
        <v>0.3</v>
      </c>
      <c r="H21">
        <v>1.8</v>
      </c>
      <c r="I21">
        <f t="shared" si="0"/>
        <v>59</v>
      </c>
      <c r="J21">
        <v>53</v>
      </c>
      <c r="K21" s="1" t="s">
        <v>15</v>
      </c>
      <c r="L21" t="s">
        <v>362</v>
      </c>
      <c r="M21" t="s">
        <v>363</v>
      </c>
      <c r="N21" s="1" t="s">
        <v>394</v>
      </c>
    </row>
    <row r="22" spans="1:14" ht="15.6" x14ac:dyDescent="0.3">
      <c r="A22" t="s">
        <v>56</v>
      </c>
      <c r="B22" t="s">
        <v>12</v>
      </c>
      <c r="C22" t="s">
        <v>57</v>
      </c>
      <c r="D22" t="s">
        <v>58</v>
      </c>
      <c r="E22">
        <v>8.5</v>
      </c>
      <c r="F22">
        <v>2</v>
      </c>
      <c r="G22">
        <v>14.7</v>
      </c>
      <c r="H22">
        <v>6.7</v>
      </c>
      <c r="I22">
        <f t="shared" si="0"/>
        <v>174</v>
      </c>
      <c r="J22">
        <v>160</v>
      </c>
      <c r="K22" s="1" t="s">
        <v>15</v>
      </c>
      <c r="L22" t="s">
        <v>364</v>
      </c>
      <c r="M22" t="s">
        <v>365</v>
      </c>
      <c r="N22" s="1" t="s">
        <v>394</v>
      </c>
    </row>
    <row r="23" spans="1:14" ht="15.6" x14ac:dyDescent="0.3">
      <c r="A23" t="s">
        <v>59</v>
      </c>
      <c r="B23" t="s">
        <v>12</v>
      </c>
      <c r="C23" t="s">
        <v>60</v>
      </c>
      <c r="D23" t="s">
        <v>14</v>
      </c>
      <c r="E23">
        <v>14.3</v>
      </c>
      <c r="F23">
        <v>2.6</v>
      </c>
      <c r="G23">
        <v>1</v>
      </c>
      <c r="H23">
        <v>5.4</v>
      </c>
      <c r="I23">
        <f t="shared" si="0"/>
        <v>77</v>
      </c>
      <c r="J23">
        <v>68</v>
      </c>
      <c r="K23" s="1" t="s">
        <v>15</v>
      </c>
      <c r="L23" t="s">
        <v>366</v>
      </c>
      <c r="M23" t="s">
        <v>367</v>
      </c>
      <c r="N23" s="1" t="s">
        <v>394</v>
      </c>
    </row>
    <row r="24" spans="1:14" ht="15.6" x14ac:dyDescent="0.3">
      <c r="A24" t="s">
        <v>61</v>
      </c>
      <c r="B24" t="s">
        <v>12</v>
      </c>
      <c r="C24" t="s">
        <v>31</v>
      </c>
      <c r="D24" t="s">
        <v>32</v>
      </c>
      <c r="E24">
        <v>10.8</v>
      </c>
      <c r="F24">
        <v>0.5</v>
      </c>
      <c r="G24">
        <v>0.3</v>
      </c>
      <c r="H24">
        <v>1.7</v>
      </c>
      <c r="I24">
        <f t="shared" si="0"/>
        <v>48</v>
      </c>
      <c r="J24">
        <v>43</v>
      </c>
      <c r="K24" s="1" t="s">
        <v>15</v>
      </c>
      <c r="L24" t="s">
        <v>368</v>
      </c>
      <c r="M24" t="s">
        <v>369</v>
      </c>
      <c r="N24" s="1" t="s">
        <v>394</v>
      </c>
    </row>
    <row r="25" spans="1:14" ht="15.6" x14ac:dyDescent="0.3">
      <c r="A25" t="s">
        <v>62</v>
      </c>
      <c r="B25" t="s">
        <v>12</v>
      </c>
      <c r="C25" t="s">
        <v>55</v>
      </c>
      <c r="D25" t="s">
        <v>63</v>
      </c>
      <c r="E25">
        <v>16.5</v>
      </c>
      <c r="F25">
        <v>0.8</v>
      </c>
      <c r="G25">
        <v>0.4</v>
      </c>
      <c r="H25">
        <v>1.3</v>
      </c>
      <c r="I25">
        <f t="shared" si="0"/>
        <v>73</v>
      </c>
      <c r="J25">
        <v>66</v>
      </c>
      <c r="K25" s="1" t="s">
        <v>15</v>
      </c>
      <c r="L25" t="s">
        <v>370</v>
      </c>
      <c r="M25" t="s">
        <v>371</v>
      </c>
      <c r="N25" s="1" t="s">
        <v>394</v>
      </c>
    </row>
    <row r="26" spans="1:14" ht="15.6" x14ac:dyDescent="0.3">
      <c r="A26" t="s">
        <v>64</v>
      </c>
      <c r="B26" t="s">
        <v>12</v>
      </c>
      <c r="C26" t="s">
        <v>65</v>
      </c>
      <c r="D26" t="s">
        <v>49</v>
      </c>
      <c r="E26">
        <v>18.600000000000001</v>
      </c>
      <c r="F26">
        <v>0.6</v>
      </c>
      <c r="G26">
        <v>0.3</v>
      </c>
      <c r="H26">
        <v>3.6</v>
      </c>
      <c r="I26">
        <f t="shared" si="0"/>
        <v>80</v>
      </c>
      <c r="J26">
        <v>81</v>
      </c>
      <c r="K26" s="1" t="s">
        <v>15</v>
      </c>
      <c r="L26" t="s">
        <v>372</v>
      </c>
      <c r="M26" t="s">
        <v>373</v>
      </c>
      <c r="N26" s="1" t="s">
        <v>394</v>
      </c>
    </row>
    <row r="27" spans="1:14" ht="15.6" x14ac:dyDescent="0.3">
      <c r="A27" t="s">
        <v>66</v>
      </c>
      <c r="B27" t="s">
        <v>12</v>
      </c>
      <c r="C27" t="s">
        <v>67</v>
      </c>
      <c r="D27" t="s">
        <v>14</v>
      </c>
      <c r="E27">
        <v>11</v>
      </c>
      <c r="F27">
        <v>1.2</v>
      </c>
      <c r="G27">
        <v>0.1</v>
      </c>
      <c r="H27">
        <v>3</v>
      </c>
      <c r="I27">
        <f t="shared" si="0"/>
        <v>50</v>
      </c>
      <c r="J27">
        <v>50</v>
      </c>
      <c r="K27" s="1" t="s">
        <v>15</v>
      </c>
      <c r="L27" t="s">
        <v>374</v>
      </c>
      <c r="M27" t="s">
        <v>375</v>
      </c>
      <c r="N27" s="1" t="s">
        <v>394</v>
      </c>
    </row>
    <row r="28" spans="1:14" ht="15.6" x14ac:dyDescent="0.3">
      <c r="A28" t="s">
        <v>68</v>
      </c>
      <c r="B28" t="s">
        <v>12</v>
      </c>
      <c r="C28" t="s">
        <v>69</v>
      </c>
      <c r="D28" t="s">
        <v>32</v>
      </c>
      <c r="E28">
        <v>23.3</v>
      </c>
      <c r="F28">
        <v>1.7</v>
      </c>
      <c r="G28">
        <v>0.6</v>
      </c>
      <c r="H28">
        <v>1.5</v>
      </c>
      <c r="I28">
        <f t="shared" si="0"/>
        <v>105</v>
      </c>
      <c r="J28">
        <v>95</v>
      </c>
      <c r="K28" s="1" t="s">
        <v>15</v>
      </c>
      <c r="L28" t="s">
        <v>376</v>
      </c>
      <c r="M28" t="s">
        <v>377</v>
      </c>
      <c r="N28" s="1" t="s">
        <v>394</v>
      </c>
    </row>
    <row r="29" spans="1:14" ht="15.6" x14ac:dyDescent="0.3">
      <c r="A29" t="s">
        <v>70</v>
      </c>
      <c r="B29" t="s">
        <v>12</v>
      </c>
      <c r="C29" t="s">
        <v>67</v>
      </c>
      <c r="D29" t="s">
        <v>20</v>
      </c>
      <c r="E29">
        <v>27.1</v>
      </c>
      <c r="F29">
        <v>1.5</v>
      </c>
      <c r="G29">
        <v>5.3</v>
      </c>
      <c r="H29">
        <v>3.8</v>
      </c>
      <c r="I29">
        <f t="shared" si="0"/>
        <v>162</v>
      </c>
      <c r="J29">
        <v>147</v>
      </c>
      <c r="K29" s="1" t="s">
        <v>15</v>
      </c>
      <c r="L29" t="s">
        <v>378</v>
      </c>
      <c r="M29" t="s">
        <v>379</v>
      </c>
      <c r="N29" s="1" t="s">
        <v>394</v>
      </c>
    </row>
    <row r="30" spans="1:14" ht="15.6" x14ac:dyDescent="0.3">
      <c r="A30" t="s">
        <v>71</v>
      </c>
      <c r="B30" t="s">
        <v>12</v>
      </c>
      <c r="C30" t="s">
        <v>72</v>
      </c>
      <c r="D30" t="s">
        <v>14</v>
      </c>
      <c r="E30">
        <v>16.8</v>
      </c>
      <c r="F30">
        <v>1</v>
      </c>
      <c r="G30">
        <v>0.3</v>
      </c>
      <c r="H30">
        <v>3.3</v>
      </c>
      <c r="I30">
        <f t="shared" si="0"/>
        <v>74</v>
      </c>
      <c r="J30">
        <v>66</v>
      </c>
      <c r="K30" s="1" t="s">
        <v>15</v>
      </c>
      <c r="L30" t="s">
        <v>380</v>
      </c>
      <c r="M30" t="s">
        <v>381</v>
      </c>
      <c r="N30" s="1" t="s">
        <v>394</v>
      </c>
    </row>
    <row r="31" spans="1:14" ht="15.6" x14ac:dyDescent="0.3">
      <c r="A31" t="s">
        <v>73</v>
      </c>
      <c r="B31" t="s">
        <v>12</v>
      </c>
      <c r="C31" t="s">
        <v>74</v>
      </c>
      <c r="D31" t="s">
        <v>14</v>
      </c>
      <c r="E31">
        <v>23.4</v>
      </c>
      <c r="F31">
        <v>2.2000000000000002</v>
      </c>
      <c r="G31">
        <v>0.7</v>
      </c>
      <c r="H31">
        <v>10.4</v>
      </c>
      <c r="I31">
        <f t="shared" si="0"/>
        <v>109</v>
      </c>
      <c r="J31">
        <v>97</v>
      </c>
      <c r="K31" s="1" t="s">
        <v>15</v>
      </c>
      <c r="L31" t="s">
        <v>382</v>
      </c>
      <c r="M31" t="s">
        <v>383</v>
      </c>
      <c r="N31" s="1" t="s">
        <v>394</v>
      </c>
    </row>
    <row r="32" spans="1:14" ht="15.6" x14ac:dyDescent="0.3">
      <c r="A32" t="s">
        <v>75</v>
      </c>
      <c r="B32" t="s">
        <v>12</v>
      </c>
      <c r="C32" t="s">
        <v>76</v>
      </c>
      <c r="D32" t="s">
        <v>45</v>
      </c>
      <c r="E32">
        <v>6.7</v>
      </c>
      <c r="F32">
        <v>1</v>
      </c>
      <c r="G32">
        <v>0.3</v>
      </c>
      <c r="H32">
        <v>2.8</v>
      </c>
      <c r="I32">
        <f t="shared" si="0"/>
        <v>34</v>
      </c>
      <c r="J32">
        <v>31</v>
      </c>
      <c r="K32" s="1" t="s">
        <v>15</v>
      </c>
      <c r="L32" t="s">
        <v>384</v>
      </c>
      <c r="M32" t="s">
        <v>385</v>
      </c>
      <c r="N32" s="1" t="s">
        <v>394</v>
      </c>
    </row>
    <row r="33" spans="1:14" ht="15.6" x14ac:dyDescent="0.3">
      <c r="A33" t="s">
        <v>77</v>
      </c>
      <c r="B33" t="s">
        <v>12</v>
      </c>
      <c r="C33" t="s">
        <v>55</v>
      </c>
      <c r="D33" t="s">
        <v>78</v>
      </c>
      <c r="E33">
        <v>15.1</v>
      </c>
      <c r="F33">
        <v>1.3</v>
      </c>
      <c r="G33">
        <v>0.1</v>
      </c>
      <c r="H33">
        <v>1.1000000000000001</v>
      </c>
      <c r="I33">
        <f t="shared" si="0"/>
        <v>67</v>
      </c>
      <c r="J33">
        <v>60</v>
      </c>
      <c r="K33" s="1" t="s">
        <v>15</v>
      </c>
      <c r="L33" t="s">
        <v>386</v>
      </c>
      <c r="M33" t="s">
        <v>387</v>
      </c>
      <c r="N33" s="1" t="s">
        <v>394</v>
      </c>
    </row>
    <row r="34" spans="1:14" ht="15.6" x14ac:dyDescent="0.3">
      <c r="A34" t="s">
        <v>79</v>
      </c>
      <c r="B34" t="s">
        <v>12</v>
      </c>
      <c r="C34" t="s">
        <v>67</v>
      </c>
      <c r="D34" t="s">
        <v>78</v>
      </c>
      <c r="E34">
        <v>20.9</v>
      </c>
      <c r="F34">
        <v>0.9</v>
      </c>
      <c r="G34">
        <v>0.2</v>
      </c>
      <c r="H34">
        <v>0.9</v>
      </c>
      <c r="I34">
        <f t="shared" si="0"/>
        <v>89</v>
      </c>
      <c r="J34">
        <v>82</v>
      </c>
      <c r="K34" s="1" t="s">
        <v>15</v>
      </c>
      <c r="L34" t="s">
        <v>388</v>
      </c>
      <c r="M34" t="s">
        <v>389</v>
      </c>
      <c r="N34" s="1" t="s">
        <v>394</v>
      </c>
    </row>
    <row r="35" spans="1:14" ht="15.6" x14ac:dyDescent="0.3">
      <c r="A35" t="s">
        <v>80</v>
      </c>
      <c r="B35" t="s">
        <v>12</v>
      </c>
      <c r="C35" t="s">
        <v>72</v>
      </c>
      <c r="D35" t="s">
        <v>51</v>
      </c>
      <c r="E35">
        <v>7.7</v>
      </c>
      <c r="F35">
        <v>0.4</v>
      </c>
      <c r="G35">
        <v>0.3</v>
      </c>
      <c r="H35">
        <v>1.1000000000000001</v>
      </c>
      <c r="I35">
        <f t="shared" si="0"/>
        <v>35</v>
      </c>
      <c r="J35">
        <v>32</v>
      </c>
      <c r="K35" s="1" t="s">
        <v>15</v>
      </c>
      <c r="L35" t="s">
        <v>390</v>
      </c>
      <c r="M35" t="s">
        <v>391</v>
      </c>
      <c r="N35" s="1" t="s">
        <v>394</v>
      </c>
    </row>
    <row r="36" spans="1:14" ht="15.6" x14ac:dyDescent="0.3">
      <c r="A36" t="s">
        <v>81</v>
      </c>
      <c r="B36" t="s">
        <v>12</v>
      </c>
      <c r="C36" t="s">
        <v>82</v>
      </c>
      <c r="D36" t="s">
        <v>83</v>
      </c>
      <c r="E36">
        <v>27.1</v>
      </c>
      <c r="F36">
        <v>1.1000000000000001</v>
      </c>
      <c r="G36">
        <v>0.2</v>
      </c>
      <c r="H36">
        <v>4.9000000000000004</v>
      </c>
      <c r="I36">
        <f t="shared" si="0"/>
        <v>115</v>
      </c>
      <c r="J36">
        <v>103</v>
      </c>
      <c r="K36" s="1" t="s">
        <v>15</v>
      </c>
      <c r="L36" t="s">
        <v>392</v>
      </c>
      <c r="M36" t="s">
        <v>393</v>
      </c>
      <c r="N36" s="1" t="s">
        <v>394</v>
      </c>
    </row>
  </sheetData>
  <hyperlinks>
    <hyperlink ref="K2" r:id="rId1" location="/food-search?query=Apple" xr:uid="{00000000-0004-0000-0000-000000000000}"/>
    <hyperlink ref="K3" r:id="rId2" location="/food-search?query=Banana" xr:uid="{00000000-0004-0000-0000-000001000000}"/>
    <hyperlink ref="K4" r:id="rId3" location="/food-search?query=Orange" xr:uid="{00000000-0004-0000-0000-000002000000}"/>
    <hyperlink ref="K5" r:id="rId4" location="/food-search?query=Strawberry" xr:uid="{00000000-0004-0000-0000-000003000000}"/>
    <hyperlink ref="K6" r:id="rId5" location="/food-search?query=Blueberry" xr:uid="{00000000-0004-0000-0000-000004000000}"/>
    <hyperlink ref="K7" r:id="rId6" location="/food-search?query=Grapes" xr:uid="{00000000-0004-0000-0000-000005000000}"/>
    <hyperlink ref="K8" r:id="rId7" location="/food-search?query=Pineapple" xr:uid="{00000000-0004-0000-0000-000006000000}"/>
    <hyperlink ref="K9" r:id="rId8" location="/food-search?query=Mango" xr:uid="{00000000-0004-0000-0000-000007000000}"/>
    <hyperlink ref="K10" r:id="rId9" location="/food-search?query=Kiwi" xr:uid="{00000000-0004-0000-0000-000008000000}"/>
    <hyperlink ref="K11" r:id="rId10" location="/food-search?query=Pear" xr:uid="{00000000-0004-0000-0000-000009000000}"/>
    <hyperlink ref="K12" r:id="rId11" location="/food-search?query=Peach" xr:uid="{00000000-0004-0000-0000-00000A000000}"/>
    <hyperlink ref="K13" r:id="rId12" location="/food-search?query=Cherry" xr:uid="{00000000-0004-0000-0000-00000B000000}"/>
    <hyperlink ref="K14" r:id="rId13" location="/food-search?query=Watermelon" xr:uid="{00000000-0004-0000-0000-00000C000000}"/>
    <hyperlink ref="K15" r:id="rId14" location="/food-search?query=Cantaloupe" xr:uid="{00000000-0004-0000-0000-00000D000000}"/>
    <hyperlink ref="K16" r:id="rId15" location="/food-search?query=Honeydew" xr:uid="{00000000-0004-0000-0000-00000E000000}"/>
    <hyperlink ref="K17" r:id="rId16" location="/food-search?query=Plum" xr:uid="{00000000-0004-0000-0000-00000F000000}"/>
    <hyperlink ref="K18" r:id="rId17" location="/food-search?query=Apricot" xr:uid="{00000000-0004-0000-0000-000010000000}"/>
    <hyperlink ref="K19" r:id="rId18" location="/food-search?query=Grapefruit" xr:uid="{00000000-0004-0000-0000-000011000000}"/>
    <hyperlink ref="K20" r:id="rId19" location="/food-search?query=Pomegranate" xr:uid="{00000000-0004-0000-0000-000012000000}"/>
    <hyperlink ref="K21" r:id="rId20" location="/food-search?query=Mandarin" xr:uid="{00000000-0004-0000-0000-000013000000}"/>
    <hyperlink ref="K22" r:id="rId21" location="/food-search?query=Avocado" xr:uid="{00000000-0004-0000-0000-000014000000}"/>
    <hyperlink ref="K23" r:id="rId22" location="/food-search?query=Guava" xr:uid="{00000000-0004-0000-0000-000015000000}"/>
    <hyperlink ref="K24" r:id="rId23" location="/food-search?query=Papaya" xr:uid="{00000000-0004-0000-0000-000016000000}"/>
    <hyperlink ref="K25" r:id="rId24" location="/food-search?query=Lychee" xr:uid="{00000000-0004-0000-0000-000017000000}"/>
    <hyperlink ref="K26" r:id="rId25" location="/food-search?query=Persimmon" xr:uid="{00000000-0004-0000-0000-000018000000}"/>
    <hyperlink ref="K27" r:id="rId26" location="/food-search?query=Dragon+Fruit+%28Pitaya%29" xr:uid="{00000000-0004-0000-0000-000019000000}"/>
    <hyperlink ref="K28" r:id="rId27" location="/food-search?query=Jackfruit" xr:uid="{00000000-0004-0000-0000-00001A000000}"/>
    <hyperlink ref="K29" r:id="rId28" location="/food-search?query=Durian" xr:uid="{00000000-0004-0000-0000-00001B000000}"/>
    <hyperlink ref="K30" r:id="rId29" location="/food-search?query=Soursop+%28Guan%C3%A1bana%29" xr:uid="{00000000-0004-0000-0000-00001C000000}"/>
    <hyperlink ref="K31" r:id="rId30" location="/food-search?query=Passionfruit" xr:uid="{00000000-0004-0000-0000-00001D000000}"/>
    <hyperlink ref="K32" r:id="rId31" location="/food-search?query=Starfruit+%28Carambola%29" xr:uid="{00000000-0004-0000-0000-00001E000000}"/>
    <hyperlink ref="K33" r:id="rId32" location="/food-search?query=Longan" xr:uid="{00000000-0004-0000-0000-00001F000000}"/>
    <hyperlink ref="K34" r:id="rId33" location="/food-search?query=Rambutan" xr:uid="{00000000-0004-0000-0000-000020000000}"/>
    <hyperlink ref="K35" r:id="rId34" location="/food-search?query=Acerola+Cherry" xr:uid="{00000000-0004-0000-0000-000021000000}"/>
    <hyperlink ref="K36" r:id="rId35" location="/food-search?query=Breadfruit" xr:uid="{00000000-0004-0000-0000-000022000000}"/>
    <hyperlink ref="N2" r:id="rId36" xr:uid="{7BC8A2E0-CE66-42DA-8A57-17017CA24844}"/>
    <hyperlink ref="N3" r:id="rId37" xr:uid="{8D6DEBF8-7408-48B8-AC64-06CE639D7E9E}"/>
    <hyperlink ref="N4" r:id="rId38" xr:uid="{827696B0-915D-454B-A691-6005054BBBCD}"/>
    <hyperlink ref="N5" r:id="rId39" xr:uid="{02781946-C545-4F00-8B09-2BCF2D12CA57}"/>
    <hyperlink ref="N6" r:id="rId40" xr:uid="{D0BFB9EE-AA8C-4000-8C39-0B363F59F5B5}"/>
    <hyperlink ref="N7" r:id="rId41" xr:uid="{C7BEBA47-1A38-422F-8792-86267557CCF7}"/>
    <hyperlink ref="N8" r:id="rId42" xr:uid="{9783C64D-D796-40B4-A64B-01B6638E9139}"/>
    <hyperlink ref="N9" r:id="rId43" xr:uid="{44116E15-8C04-4886-AF0F-8CFB648ACE4F}"/>
    <hyperlink ref="N10" r:id="rId44" xr:uid="{213CA167-43A3-468A-9BBB-A694A3D6AB41}"/>
    <hyperlink ref="N11" r:id="rId45" xr:uid="{3EC9686D-1D10-415D-8B83-B6FF775793D1}"/>
    <hyperlink ref="N12" r:id="rId46" xr:uid="{B4F8F6D8-CB8A-474B-A4C7-25A6BA0F64FA}"/>
    <hyperlink ref="N13" r:id="rId47" xr:uid="{E4ADAF74-8703-43FA-93EC-0A5ADBF4431C}"/>
    <hyperlink ref="N14" r:id="rId48" xr:uid="{C532693A-8B04-40D4-91E8-D7396FF0C24C}"/>
    <hyperlink ref="N15" r:id="rId49" xr:uid="{C4B66967-C8EE-411B-9F0E-43EA9E8EBD89}"/>
    <hyperlink ref="N16" r:id="rId50" xr:uid="{0B270124-A80B-4F3F-8DB0-47AE8327D893}"/>
    <hyperlink ref="N17" r:id="rId51" xr:uid="{22F2D64F-71A7-4191-BB57-5841D05D2A30}"/>
    <hyperlink ref="N18" r:id="rId52" xr:uid="{F00C4CC3-015C-4E2B-A5DB-51828E7CC547}"/>
    <hyperlink ref="N19" r:id="rId53" xr:uid="{CC5004EC-A842-4B5C-8BFC-816800484084}"/>
    <hyperlink ref="N20" r:id="rId54" xr:uid="{F63B2632-7072-4F4E-8C48-023C2FF1B3E2}"/>
    <hyperlink ref="N21" r:id="rId55" xr:uid="{0EE0DBA0-6466-4863-8EF9-ECAF827386EA}"/>
    <hyperlink ref="N22" r:id="rId56" xr:uid="{C62C5E73-9BEA-45B2-B09A-00D6C5E665B4}"/>
    <hyperlink ref="N23" r:id="rId57" xr:uid="{88B8A562-8257-4041-ACD6-B7ABEB945132}"/>
    <hyperlink ref="N24" r:id="rId58" xr:uid="{AA02962E-D051-4B48-8AF7-87E2C42BABE7}"/>
    <hyperlink ref="N25" r:id="rId59" xr:uid="{6E5C63DF-373E-434A-B4DA-2A4C00392051}"/>
    <hyperlink ref="N26" r:id="rId60" xr:uid="{4CD77BDF-139F-4CD4-A121-EB9E1BE7F02A}"/>
    <hyperlink ref="N27" r:id="rId61" xr:uid="{7E04F5C5-E61C-470C-8D2D-837D0A2BD023}"/>
    <hyperlink ref="N28" r:id="rId62" xr:uid="{E00A7F7C-C57C-4F63-ABBD-AFF90CACE27B}"/>
    <hyperlink ref="N29" r:id="rId63" xr:uid="{7F61DE59-CA77-4F9D-B834-A211E4012EF3}"/>
    <hyperlink ref="N30" r:id="rId64" xr:uid="{A50DF953-DC31-44E5-A17C-BA6AFE5C613C}"/>
    <hyperlink ref="N31" r:id="rId65" xr:uid="{9056FAB5-CA3B-4A95-BF77-F67AE1398D4A}"/>
    <hyperlink ref="N32" r:id="rId66" xr:uid="{72D6CE5E-681C-4B62-9E19-0D9A9D9C9C45}"/>
    <hyperlink ref="N33" r:id="rId67" xr:uid="{37D77E1D-6D5B-4EDE-822B-951F32F28E7C}"/>
    <hyperlink ref="N34" r:id="rId68" xr:uid="{D1D06AC6-2D30-48C6-B361-F2D160E826B7}"/>
    <hyperlink ref="N35" r:id="rId69" xr:uid="{814349A8-38B7-4056-8FDA-F9FC572583C1}"/>
    <hyperlink ref="N36" r:id="rId70" xr:uid="{05C5ED1C-D6E8-4C6A-8000-8B67F31F58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E8C7"/>
  </sheetPr>
  <dimension ref="A1:O36"/>
  <sheetViews>
    <sheetView workbookViewId="0">
      <selection activeCell="M23" sqref="M23"/>
    </sheetView>
  </sheetViews>
  <sheetFormatPr defaultRowHeight="14.4" x14ac:dyDescent="0.3"/>
  <cols>
    <col min="1" max="1" width="23" bestFit="1" customWidth="1"/>
    <col min="2" max="2" width="10.5546875" bestFit="1" customWidth="1"/>
    <col min="3" max="3" width="19.109375" bestFit="1" customWidth="1"/>
    <col min="4" max="4" width="27.44140625" bestFit="1" customWidth="1"/>
    <col min="5" max="5" width="13.21875" bestFit="1" customWidth="1"/>
    <col min="6" max="6" width="14.5546875" bestFit="1" customWidth="1"/>
    <col min="7" max="7" width="11.109375" bestFit="1" customWidth="1"/>
    <col min="8" max="8" width="12.5546875" bestFit="1" customWidth="1"/>
    <col min="9" max="9" width="26.44140625" bestFit="1" customWidth="1"/>
    <col min="10" max="10" width="22.77734375" bestFit="1" customWidth="1"/>
    <col min="11" max="11" width="12.88671875" bestFit="1" customWidth="1"/>
    <col min="12" max="12" width="34.77734375" bestFit="1" customWidth="1"/>
    <col min="13" max="13" width="38.33203125" bestFit="1" customWidth="1"/>
  </cols>
  <sheetData>
    <row r="1" spans="1:1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6" t="s">
        <v>322</v>
      </c>
      <c r="M1" s="6" t="s">
        <v>323</v>
      </c>
      <c r="N1" s="11" t="s">
        <v>10</v>
      </c>
      <c r="O1" s="11"/>
    </row>
    <row r="2" spans="1:15" ht="15.6" x14ac:dyDescent="0.3">
      <c r="A2" t="s">
        <v>84</v>
      </c>
      <c r="B2" t="s">
        <v>85</v>
      </c>
      <c r="C2" t="s">
        <v>86</v>
      </c>
      <c r="D2" t="s">
        <v>87</v>
      </c>
      <c r="E2">
        <v>3.6</v>
      </c>
      <c r="F2">
        <v>2.9</v>
      </c>
      <c r="G2">
        <v>0.4</v>
      </c>
      <c r="H2">
        <v>2.2000000000000002</v>
      </c>
      <c r="I2">
        <f t="shared" ref="I2:I36" si="0">ROUND(4*E2+4*F2+9*G2,0)</f>
        <v>30</v>
      </c>
      <c r="J2">
        <v>23</v>
      </c>
      <c r="K2" s="1" t="s">
        <v>15</v>
      </c>
      <c r="L2" s="4" t="s">
        <v>395</v>
      </c>
      <c r="M2" s="4" t="s">
        <v>396</v>
      </c>
      <c r="N2" s="5" t="s">
        <v>397</v>
      </c>
    </row>
    <row r="3" spans="1:15" ht="15.6" x14ac:dyDescent="0.3">
      <c r="A3" t="s">
        <v>88</v>
      </c>
      <c r="B3" t="s">
        <v>85</v>
      </c>
      <c r="C3" t="s">
        <v>13</v>
      </c>
      <c r="D3" t="s">
        <v>89</v>
      </c>
      <c r="E3">
        <v>8.8000000000000007</v>
      </c>
      <c r="F3">
        <v>4.3</v>
      </c>
      <c r="G3">
        <v>1.5</v>
      </c>
      <c r="H3">
        <v>3.6</v>
      </c>
      <c r="I3">
        <f t="shared" si="0"/>
        <v>66</v>
      </c>
      <c r="J3">
        <v>49</v>
      </c>
      <c r="K3" s="1" t="s">
        <v>15</v>
      </c>
      <c r="L3" s="4" t="s">
        <v>398</v>
      </c>
      <c r="M3" s="4" t="s">
        <v>399</v>
      </c>
      <c r="N3" s="5" t="s">
        <v>397</v>
      </c>
    </row>
    <row r="4" spans="1:15" ht="15.6" x14ac:dyDescent="0.3">
      <c r="A4" t="s">
        <v>90</v>
      </c>
      <c r="B4" t="s">
        <v>85</v>
      </c>
      <c r="C4" t="s">
        <v>17</v>
      </c>
      <c r="D4" t="s">
        <v>91</v>
      </c>
      <c r="E4">
        <v>6.6</v>
      </c>
      <c r="F4">
        <v>2.8</v>
      </c>
      <c r="G4">
        <v>0.4</v>
      </c>
      <c r="H4">
        <v>2.6</v>
      </c>
      <c r="I4">
        <f t="shared" si="0"/>
        <v>41</v>
      </c>
      <c r="J4">
        <v>34</v>
      </c>
      <c r="K4" s="1" t="s">
        <v>15</v>
      </c>
      <c r="L4" s="4" t="s">
        <v>400</v>
      </c>
      <c r="M4" s="4" t="s">
        <v>401</v>
      </c>
      <c r="N4" s="5" t="s">
        <v>397</v>
      </c>
    </row>
    <row r="5" spans="1:15" ht="15.6" x14ac:dyDescent="0.3">
      <c r="A5" t="s">
        <v>92</v>
      </c>
      <c r="B5" t="s">
        <v>85</v>
      </c>
      <c r="C5" t="s">
        <v>17</v>
      </c>
      <c r="D5" t="s">
        <v>93</v>
      </c>
      <c r="E5">
        <v>9.6</v>
      </c>
      <c r="F5">
        <v>0.9</v>
      </c>
      <c r="G5">
        <v>0.2</v>
      </c>
      <c r="H5">
        <v>2.8</v>
      </c>
      <c r="I5">
        <f t="shared" si="0"/>
        <v>44</v>
      </c>
      <c r="J5">
        <v>41</v>
      </c>
      <c r="K5" s="1" t="s">
        <v>15</v>
      </c>
      <c r="L5" s="4" t="s">
        <v>402</v>
      </c>
      <c r="M5" s="4" t="s">
        <v>403</v>
      </c>
      <c r="N5" s="5" t="s">
        <v>397</v>
      </c>
    </row>
    <row r="6" spans="1:15" ht="15.6" x14ac:dyDescent="0.3">
      <c r="A6" t="s">
        <v>94</v>
      </c>
      <c r="B6" t="s">
        <v>85</v>
      </c>
      <c r="C6" t="s">
        <v>17</v>
      </c>
      <c r="D6" t="s">
        <v>95</v>
      </c>
      <c r="E6">
        <v>20.100000000000001</v>
      </c>
      <c r="F6">
        <v>1.6</v>
      </c>
      <c r="G6">
        <v>0.1</v>
      </c>
      <c r="H6">
        <v>3</v>
      </c>
      <c r="I6">
        <f t="shared" si="0"/>
        <v>88</v>
      </c>
      <c r="J6">
        <v>86</v>
      </c>
      <c r="K6" s="1" t="s">
        <v>15</v>
      </c>
      <c r="L6" s="4" t="s">
        <v>404</v>
      </c>
      <c r="M6" s="4" t="s">
        <v>405</v>
      </c>
      <c r="N6" s="5" t="s">
        <v>397</v>
      </c>
    </row>
    <row r="7" spans="1:15" ht="15.6" x14ac:dyDescent="0.3">
      <c r="A7" t="s">
        <v>96</v>
      </c>
      <c r="B7" t="s">
        <v>85</v>
      </c>
      <c r="C7" t="s">
        <v>17</v>
      </c>
      <c r="D7" t="s">
        <v>97</v>
      </c>
      <c r="E7">
        <v>17.600000000000001</v>
      </c>
      <c r="F7">
        <v>2</v>
      </c>
      <c r="G7">
        <v>0.1</v>
      </c>
      <c r="H7">
        <v>2.2000000000000002</v>
      </c>
      <c r="I7">
        <f t="shared" si="0"/>
        <v>79</v>
      </c>
      <c r="J7">
        <v>77</v>
      </c>
      <c r="K7" s="1" t="s">
        <v>15</v>
      </c>
      <c r="L7" s="4" t="s">
        <v>406</v>
      </c>
      <c r="M7" s="4" t="s">
        <v>407</v>
      </c>
      <c r="N7" s="5" t="s">
        <v>397</v>
      </c>
    </row>
    <row r="8" spans="1:15" ht="15.6" x14ac:dyDescent="0.3">
      <c r="A8" t="s">
        <v>98</v>
      </c>
      <c r="B8" t="s">
        <v>85</v>
      </c>
      <c r="C8" t="s">
        <v>17</v>
      </c>
      <c r="D8" t="s">
        <v>89</v>
      </c>
      <c r="E8">
        <v>5</v>
      </c>
      <c r="F8">
        <v>1.9</v>
      </c>
      <c r="G8">
        <v>0.3</v>
      </c>
      <c r="H8">
        <v>2</v>
      </c>
      <c r="I8">
        <f t="shared" si="0"/>
        <v>30</v>
      </c>
      <c r="J8">
        <v>25</v>
      </c>
      <c r="K8" s="1" t="s">
        <v>15</v>
      </c>
      <c r="L8" s="4" t="s">
        <v>408</v>
      </c>
      <c r="M8" s="4" t="s">
        <v>409</v>
      </c>
      <c r="N8" s="5" t="s">
        <v>397</v>
      </c>
    </row>
    <row r="9" spans="1:15" ht="15.6" x14ac:dyDescent="0.3">
      <c r="A9" t="s">
        <v>99</v>
      </c>
      <c r="B9" t="s">
        <v>85</v>
      </c>
      <c r="C9" t="s">
        <v>17</v>
      </c>
      <c r="D9" t="s">
        <v>38</v>
      </c>
      <c r="E9">
        <v>6</v>
      </c>
      <c r="F9">
        <v>0.9</v>
      </c>
      <c r="G9">
        <v>0.3</v>
      </c>
      <c r="H9">
        <v>2.1</v>
      </c>
      <c r="I9">
        <f t="shared" si="0"/>
        <v>30</v>
      </c>
      <c r="J9">
        <v>31</v>
      </c>
      <c r="K9" s="1" t="s">
        <v>15</v>
      </c>
      <c r="L9" s="4" t="s">
        <v>410</v>
      </c>
      <c r="M9" s="4" t="s">
        <v>411</v>
      </c>
      <c r="N9" s="5" t="s">
        <v>397</v>
      </c>
    </row>
    <row r="10" spans="1:15" ht="15.6" x14ac:dyDescent="0.3">
      <c r="A10" t="s">
        <v>100</v>
      </c>
      <c r="B10" t="s">
        <v>85</v>
      </c>
      <c r="C10" t="s">
        <v>101</v>
      </c>
      <c r="D10" t="s">
        <v>102</v>
      </c>
      <c r="E10">
        <v>3.9</v>
      </c>
      <c r="F10">
        <v>0.9</v>
      </c>
      <c r="G10">
        <v>0.2</v>
      </c>
      <c r="H10">
        <v>1.2</v>
      </c>
      <c r="I10">
        <f t="shared" si="0"/>
        <v>21</v>
      </c>
      <c r="J10">
        <v>18</v>
      </c>
      <c r="K10" s="1" t="s">
        <v>15</v>
      </c>
      <c r="L10" s="4" t="s">
        <v>412</v>
      </c>
      <c r="M10" s="4" t="s">
        <v>403</v>
      </c>
      <c r="N10" s="5" t="s">
        <v>397</v>
      </c>
    </row>
    <row r="11" spans="1:15" ht="15.6" x14ac:dyDescent="0.3">
      <c r="A11" t="s">
        <v>103</v>
      </c>
      <c r="B11" t="s">
        <v>85</v>
      </c>
      <c r="C11" t="s">
        <v>17</v>
      </c>
      <c r="D11" s="11" t="s">
        <v>22</v>
      </c>
      <c r="E11">
        <v>9.3000000000000007</v>
      </c>
      <c r="F11">
        <v>1.1000000000000001</v>
      </c>
      <c r="G11">
        <v>0.1</v>
      </c>
      <c r="H11">
        <v>1.7</v>
      </c>
      <c r="I11">
        <f t="shared" si="0"/>
        <v>43</v>
      </c>
      <c r="J11">
        <v>40</v>
      </c>
      <c r="K11" s="1" t="s">
        <v>15</v>
      </c>
      <c r="L11" s="4" t="s">
        <v>413</v>
      </c>
      <c r="M11" s="4" t="s">
        <v>414</v>
      </c>
      <c r="N11" s="5" t="s">
        <v>397</v>
      </c>
    </row>
    <row r="12" spans="1:15" ht="15.6" x14ac:dyDescent="0.3">
      <c r="A12" t="s">
        <v>104</v>
      </c>
      <c r="B12" t="s">
        <v>85</v>
      </c>
      <c r="C12" t="s">
        <v>105</v>
      </c>
      <c r="D12" t="s">
        <v>106</v>
      </c>
      <c r="E12">
        <v>33.1</v>
      </c>
      <c r="F12">
        <v>6.4</v>
      </c>
      <c r="G12">
        <v>0.5</v>
      </c>
      <c r="H12">
        <v>2.1</v>
      </c>
      <c r="I12">
        <f t="shared" si="0"/>
        <v>163</v>
      </c>
      <c r="J12">
        <v>149</v>
      </c>
      <c r="K12" s="1" t="s">
        <v>15</v>
      </c>
      <c r="L12" s="4" t="s">
        <v>415</v>
      </c>
      <c r="M12" s="4" t="s">
        <v>416</v>
      </c>
      <c r="N12" s="5" t="s">
        <v>397</v>
      </c>
    </row>
    <row r="13" spans="1:15" ht="15.6" x14ac:dyDescent="0.3">
      <c r="A13" t="s">
        <v>107</v>
      </c>
      <c r="B13" t="s">
        <v>85</v>
      </c>
      <c r="C13" t="s">
        <v>65</v>
      </c>
      <c r="D13" t="s">
        <v>108</v>
      </c>
      <c r="E13">
        <v>3.3</v>
      </c>
      <c r="F13">
        <v>3.1</v>
      </c>
      <c r="G13">
        <v>0.3</v>
      </c>
      <c r="H13">
        <v>1</v>
      </c>
      <c r="I13">
        <f t="shared" si="0"/>
        <v>28</v>
      </c>
      <c r="J13">
        <v>22</v>
      </c>
      <c r="K13" s="1" t="s">
        <v>15</v>
      </c>
      <c r="L13" s="4" t="s">
        <v>417</v>
      </c>
      <c r="M13" s="4" t="s">
        <v>418</v>
      </c>
      <c r="N13" s="5" t="s">
        <v>397</v>
      </c>
    </row>
    <row r="14" spans="1:15" ht="15.6" x14ac:dyDescent="0.3">
      <c r="A14" t="s">
        <v>109</v>
      </c>
      <c r="B14" t="s">
        <v>85</v>
      </c>
      <c r="C14" t="s">
        <v>55</v>
      </c>
      <c r="D14" t="s">
        <v>110</v>
      </c>
      <c r="E14">
        <v>5.8</v>
      </c>
      <c r="F14">
        <v>1.3</v>
      </c>
      <c r="G14">
        <v>0.1</v>
      </c>
      <c r="H14">
        <v>2.5</v>
      </c>
      <c r="I14">
        <f t="shared" si="0"/>
        <v>29</v>
      </c>
      <c r="J14">
        <v>25</v>
      </c>
      <c r="K14" s="1" t="s">
        <v>15</v>
      </c>
      <c r="L14" s="4" t="s">
        <v>419</v>
      </c>
      <c r="M14" s="4" t="s">
        <v>420</v>
      </c>
      <c r="N14" s="5" t="s">
        <v>397</v>
      </c>
    </row>
    <row r="15" spans="1:15" ht="15.6" x14ac:dyDescent="0.3">
      <c r="A15" t="s">
        <v>111</v>
      </c>
      <c r="B15" t="s">
        <v>85</v>
      </c>
      <c r="C15" t="s">
        <v>112</v>
      </c>
      <c r="D15" t="s">
        <v>89</v>
      </c>
      <c r="E15">
        <v>9</v>
      </c>
      <c r="F15">
        <v>3.4</v>
      </c>
      <c r="G15">
        <v>0.3</v>
      </c>
      <c r="H15">
        <v>3.8</v>
      </c>
      <c r="I15">
        <f t="shared" si="0"/>
        <v>52</v>
      </c>
      <c r="J15">
        <v>43</v>
      </c>
      <c r="K15" s="1" t="s">
        <v>15</v>
      </c>
      <c r="L15" s="4" t="s">
        <v>421</v>
      </c>
      <c r="M15" s="4" t="s">
        <v>422</v>
      </c>
      <c r="N15" s="5" t="s">
        <v>397</v>
      </c>
    </row>
    <row r="16" spans="1:15" ht="15.6" x14ac:dyDescent="0.3">
      <c r="A16" t="s">
        <v>113</v>
      </c>
      <c r="B16" t="s">
        <v>85</v>
      </c>
      <c r="C16" t="s">
        <v>17</v>
      </c>
      <c r="D16" t="s">
        <v>114</v>
      </c>
      <c r="E16">
        <v>3.9</v>
      </c>
      <c r="F16">
        <v>2.2000000000000002</v>
      </c>
      <c r="G16">
        <v>0.1</v>
      </c>
      <c r="H16">
        <v>2.1</v>
      </c>
      <c r="I16">
        <f t="shared" si="0"/>
        <v>25</v>
      </c>
      <c r="J16">
        <v>20</v>
      </c>
      <c r="K16" s="1" t="s">
        <v>15</v>
      </c>
      <c r="L16" s="4" t="s">
        <v>423</v>
      </c>
      <c r="M16" s="4" t="s">
        <v>424</v>
      </c>
      <c r="N16" s="5" t="s">
        <v>397</v>
      </c>
    </row>
    <row r="17" spans="1:14" ht="15.6" x14ac:dyDescent="0.3">
      <c r="A17" t="s">
        <v>115</v>
      </c>
      <c r="B17" t="s">
        <v>85</v>
      </c>
      <c r="C17" t="s">
        <v>101</v>
      </c>
      <c r="D17" t="s">
        <v>32</v>
      </c>
      <c r="E17">
        <v>3.1</v>
      </c>
      <c r="F17">
        <v>1.2</v>
      </c>
      <c r="G17">
        <v>0.3</v>
      </c>
      <c r="H17">
        <v>1</v>
      </c>
      <c r="I17">
        <f t="shared" si="0"/>
        <v>20</v>
      </c>
      <c r="J17">
        <v>17</v>
      </c>
      <c r="K17" s="1" t="s">
        <v>15</v>
      </c>
      <c r="L17" s="4" t="s">
        <v>425</v>
      </c>
      <c r="M17" s="4" t="s">
        <v>426</v>
      </c>
      <c r="N17" s="5" t="s">
        <v>397</v>
      </c>
    </row>
    <row r="18" spans="1:14" ht="15.6" x14ac:dyDescent="0.3">
      <c r="A18" t="s">
        <v>116</v>
      </c>
      <c r="B18" t="s">
        <v>85</v>
      </c>
      <c r="C18" t="s">
        <v>117</v>
      </c>
      <c r="D18" t="s">
        <v>118</v>
      </c>
      <c r="E18">
        <v>5.9</v>
      </c>
      <c r="F18">
        <v>1</v>
      </c>
      <c r="G18">
        <v>0.2</v>
      </c>
      <c r="H18">
        <v>3</v>
      </c>
      <c r="I18">
        <f t="shared" si="0"/>
        <v>29</v>
      </c>
      <c r="J18">
        <v>25</v>
      </c>
      <c r="K18" s="1" t="s">
        <v>15</v>
      </c>
      <c r="L18" s="4" t="s">
        <v>427</v>
      </c>
      <c r="M18" s="4" t="s">
        <v>428</v>
      </c>
      <c r="N18" s="5" t="s">
        <v>397</v>
      </c>
    </row>
    <row r="19" spans="1:14" ht="15.6" x14ac:dyDescent="0.3">
      <c r="A19" t="s">
        <v>119</v>
      </c>
      <c r="B19" t="s">
        <v>85</v>
      </c>
      <c r="C19" t="s">
        <v>17</v>
      </c>
      <c r="D19" t="s">
        <v>89</v>
      </c>
      <c r="E19">
        <v>7</v>
      </c>
      <c r="F19">
        <v>1.8</v>
      </c>
      <c r="G19">
        <v>0.1</v>
      </c>
      <c r="H19">
        <v>3.4</v>
      </c>
      <c r="I19">
        <f t="shared" si="0"/>
        <v>36</v>
      </c>
      <c r="J19">
        <v>31</v>
      </c>
      <c r="K19" s="1" t="s">
        <v>15</v>
      </c>
      <c r="L19" s="4" t="s">
        <v>429</v>
      </c>
      <c r="M19" s="4" t="s">
        <v>411</v>
      </c>
      <c r="N19" s="5" t="s">
        <v>397</v>
      </c>
    </row>
    <row r="20" spans="1:14" ht="15.6" x14ac:dyDescent="0.3">
      <c r="A20" t="s">
        <v>120</v>
      </c>
      <c r="B20" t="s">
        <v>85</v>
      </c>
      <c r="C20" t="s">
        <v>55</v>
      </c>
      <c r="D20" t="s">
        <v>121</v>
      </c>
      <c r="E20">
        <v>2.2000000000000002</v>
      </c>
      <c r="F20">
        <v>1.5</v>
      </c>
      <c r="G20">
        <v>0.2</v>
      </c>
      <c r="H20">
        <v>1</v>
      </c>
      <c r="I20">
        <f t="shared" si="0"/>
        <v>17</v>
      </c>
      <c r="J20">
        <v>13</v>
      </c>
      <c r="K20" s="1" t="s">
        <v>15</v>
      </c>
      <c r="L20" s="4" t="s">
        <v>430</v>
      </c>
      <c r="M20" s="4" t="s">
        <v>431</v>
      </c>
      <c r="N20" s="5" t="s">
        <v>397</v>
      </c>
    </row>
    <row r="21" spans="1:14" ht="15.6" x14ac:dyDescent="0.3">
      <c r="A21" t="s">
        <v>122</v>
      </c>
      <c r="B21" t="s">
        <v>85</v>
      </c>
      <c r="C21" t="s">
        <v>55</v>
      </c>
      <c r="D21" t="s">
        <v>20</v>
      </c>
      <c r="E21">
        <v>2.2000000000000002</v>
      </c>
      <c r="F21">
        <v>1.2</v>
      </c>
      <c r="G21">
        <v>0.2</v>
      </c>
      <c r="H21">
        <v>1</v>
      </c>
      <c r="I21">
        <f t="shared" si="0"/>
        <v>15</v>
      </c>
      <c r="J21">
        <v>12</v>
      </c>
      <c r="K21" s="1" t="s">
        <v>15</v>
      </c>
      <c r="L21" s="4" t="s">
        <v>432</v>
      </c>
      <c r="M21" s="4" t="s">
        <v>433</v>
      </c>
      <c r="N21" s="5" t="s">
        <v>397</v>
      </c>
    </row>
    <row r="22" spans="1:14" ht="15.6" x14ac:dyDescent="0.3">
      <c r="A22" t="s">
        <v>123</v>
      </c>
      <c r="B22" t="s">
        <v>85</v>
      </c>
      <c r="C22" t="s">
        <v>124</v>
      </c>
      <c r="D22" t="s">
        <v>20</v>
      </c>
      <c r="E22">
        <v>7.5</v>
      </c>
      <c r="F22">
        <v>1.9</v>
      </c>
      <c r="G22">
        <v>0.2</v>
      </c>
      <c r="H22">
        <v>3.2</v>
      </c>
      <c r="I22">
        <f t="shared" si="0"/>
        <v>39</v>
      </c>
      <c r="J22">
        <v>33</v>
      </c>
      <c r="K22" s="1" t="s">
        <v>15</v>
      </c>
      <c r="L22" s="4" t="s">
        <v>434</v>
      </c>
      <c r="M22" s="4" t="s">
        <v>435</v>
      </c>
      <c r="N22" s="5" t="s">
        <v>397</v>
      </c>
    </row>
    <row r="23" spans="1:14" ht="15.6" x14ac:dyDescent="0.3">
      <c r="A23" t="s">
        <v>125</v>
      </c>
      <c r="B23" t="s">
        <v>85</v>
      </c>
      <c r="C23" t="s">
        <v>65</v>
      </c>
      <c r="D23" t="s">
        <v>126</v>
      </c>
      <c r="E23">
        <v>5.0999999999999996</v>
      </c>
      <c r="F23">
        <v>5.8</v>
      </c>
      <c r="G23">
        <v>0.6</v>
      </c>
      <c r="H23">
        <v>0.3</v>
      </c>
      <c r="I23">
        <f t="shared" si="0"/>
        <v>49</v>
      </c>
      <c r="J23">
        <v>35</v>
      </c>
      <c r="K23" s="1" t="s">
        <v>15</v>
      </c>
      <c r="L23" s="4" t="s">
        <v>436</v>
      </c>
      <c r="M23" s="4" t="s">
        <v>437</v>
      </c>
      <c r="N23" s="5" t="s">
        <v>438</v>
      </c>
    </row>
    <row r="24" spans="1:14" ht="15.6" x14ac:dyDescent="0.3">
      <c r="A24" t="s">
        <v>127</v>
      </c>
      <c r="B24" t="s">
        <v>85</v>
      </c>
      <c r="C24" t="s">
        <v>65</v>
      </c>
      <c r="D24" t="s">
        <v>20</v>
      </c>
      <c r="E24">
        <v>4.0999999999999996</v>
      </c>
      <c r="F24">
        <v>0.6</v>
      </c>
      <c r="G24">
        <v>0.1</v>
      </c>
      <c r="H24">
        <v>1.6</v>
      </c>
      <c r="I24">
        <f t="shared" si="0"/>
        <v>20</v>
      </c>
      <c r="J24">
        <v>18</v>
      </c>
      <c r="K24" s="1" t="s">
        <v>15</v>
      </c>
      <c r="L24" s="4" t="s">
        <v>439</v>
      </c>
      <c r="M24" s="4" t="s">
        <v>440</v>
      </c>
      <c r="N24" s="5" t="s">
        <v>397</v>
      </c>
    </row>
    <row r="25" spans="1:14" ht="15.6" x14ac:dyDescent="0.3">
      <c r="A25" t="s">
        <v>128</v>
      </c>
      <c r="B25" t="s">
        <v>85</v>
      </c>
      <c r="C25" t="s">
        <v>129</v>
      </c>
      <c r="D25" t="s">
        <v>14</v>
      </c>
      <c r="E25">
        <v>17.2</v>
      </c>
      <c r="F25">
        <v>2.6</v>
      </c>
      <c r="G25">
        <v>0.1</v>
      </c>
      <c r="H25">
        <v>4.9000000000000004</v>
      </c>
      <c r="I25">
        <f t="shared" si="0"/>
        <v>80</v>
      </c>
      <c r="J25">
        <v>74</v>
      </c>
      <c r="K25" s="1" t="s">
        <v>15</v>
      </c>
      <c r="L25" s="4" t="s">
        <v>441</v>
      </c>
      <c r="M25" s="4" t="s">
        <v>442</v>
      </c>
      <c r="N25" s="5" t="s">
        <v>397</v>
      </c>
    </row>
    <row r="26" spans="1:14" ht="15.6" x14ac:dyDescent="0.3">
      <c r="A26" t="s">
        <v>130</v>
      </c>
      <c r="B26" t="s">
        <v>85</v>
      </c>
      <c r="C26" t="s">
        <v>131</v>
      </c>
      <c r="D26" t="s">
        <v>14</v>
      </c>
      <c r="E26">
        <v>8.8000000000000007</v>
      </c>
      <c r="F26">
        <v>0.7</v>
      </c>
      <c r="G26">
        <v>0.1</v>
      </c>
      <c r="H26">
        <v>4.9000000000000004</v>
      </c>
      <c r="I26">
        <f t="shared" si="0"/>
        <v>39</v>
      </c>
      <c r="J26">
        <v>38</v>
      </c>
      <c r="K26" s="1" t="s">
        <v>15</v>
      </c>
      <c r="L26" s="4" t="s">
        <v>443</v>
      </c>
      <c r="M26" s="4" t="s">
        <v>444</v>
      </c>
      <c r="N26" s="5" t="s">
        <v>438</v>
      </c>
    </row>
    <row r="27" spans="1:14" ht="15.6" x14ac:dyDescent="0.3">
      <c r="A27" t="s">
        <v>132</v>
      </c>
      <c r="B27" t="s">
        <v>85</v>
      </c>
      <c r="C27" t="s">
        <v>31</v>
      </c>
      <c r="D27" t="s">
        <v>14</v>
      </c>
      <c r="E27">
        <v>3.4</v>
      </c>
      <c r="F27">
        <v>1.2</v>
      </c>
      <c r="G27">
        <v>0.2</v>
      </c>
      <c r="H27">
        <v>1.6</v>
      </c>
      <c r="I27">
        <f t="shared" si="0"/>
        <v>20</v>
      </c>
      <c r="J27">
        <v>18</v>
      </c>
      <c r="K27" s="1" t="s">
        <v>15</v>
      </c>
      <c r="L27" s="4" t="s">
        <v>445</v>
      </c>
      <c r="M27" s="4" t="s">
        <v>420</v>
      </c>
      <c r="N27" s="5" t="s">
        <v>438</v>
      </c>
    </row>
    <row r="28" spans="1:14" ht="15.6" x14ac:dyDescent="0.3">
      <c r="A28" t="s">
        <v>133</v>
      </c>
      <c r="B28" t="s">
        <v>85</v>
      </c>
      <c r="C28" t="s">
        <v>134</v>
      </c>
      <c r="D28" t="s">
        <v>14</v>
      </c>
      <c r="E28">
        <v>3.7</v>
      </c>
      <c r="F28">
        <v>1</v>
      </c>
      <c r="G28">
        <v>0.2</v>
      </c>
      <c r="H28">
        <v>2.8</v>
      </c>
      <c r="I28">
        <f t="shared" si="0"/>
        <v>21</v>
      </c>
      <c r="J28">
        <v>20</v>
      </c>
      <c r="K28" s="1" t="s">
        <v>15</v>
      </c>
      <c r="L28" s="4" t="s">
        <v>446</v>
      </c>
      <c r="M28" s="4" t="s">
        <v>447</v>
      </c>
      <c r="N28" s="5" t="s">
        <v>438</v>
      </c>
    </row>
    <row r="29" spans="1:14" ht="15.6" x14ac:dyDescent="0.3">
      <c r="A29" t="s">
        <v>135</v>
      </c>
      <c r="B29" t="s">
        <v>85</v>
      </c>
      <c r="C29" t="s">
        <v>31</v>
      </c>
      <c r="D29" t="s">
        <v>136</v>
      </c>
      <c r="E29">
        <v>8.5</v>
      </c>
      <c r="F29">
        <v>2.1</v>
      </c>
      <c r="G29">
        <v>0.1</v>
      </c>
      <c r="H29">
        <v>3.2</v>
      </c>
      <c r="I29">
        <f t="shared" si="0"/>
        <v>43</v>
      </c>
      <c r="J29">
        <v>37</v>
      </c>
      <c r="K29" s="1" t="s">
        <v>15</v>
      </c>
      <c r="L29" s="4" t="s">
        <v>448</v>
      </c>
      <c r="M29" s="4" t="s">
        <v>449</v>
      </c>
      <c r="N29" s="5" t="s">
        <v>438</v>
      </c>
    </row>
    <row r="30" spans="1:14" ht="15.6" x14ac:dyDescent="0.3">
      <c r="A30" t="s">
        <v>137</v>
      </c>
      <c r="B30" t="s">
        <v>85</v>
      </c>
      <c r="C30" t="s">
        <v>138</v>
      </c>
      <c r="D30" t="s">
        <v>139</v>
      </c>
      <c r="E30">
        <v>26.5</v>
      </c>
      <c r="F30">
        <v>1.5</v>
      </c>
      <c r="G30">
        <v>0.1</v>
      </c>
      <c r="H30">
        <v>4.0999999999999996</v>
      </c>
      <c r="I30">
        <f t="shared" si="0"/>
        <v>113</v>
      </c>
      <c r="J30">
        <v>112</v>
      </c>
      <c r="K30" s="1" t="s">
        <v>15</v>
      </c>
      <c r="L30" s="4" t="s">
        <v>450</v>
      </c>
      <c r="M30" s="4" t="s">
        <v>451</v>
      </c>
      <c r="N30" s="5" t="s">
        <v>397</v>
      </c>
    </row>
    <row r="31" spans="1:14" ht="15.6" x14ac:dyDescent="0.3">
      <c r="A31" t="s">
        <v>140</v>
      </c>
      <c r="B31" t="s">
        <v>85</v>
      </c>
      <c r="C31" t="s">
        <v>141</v>
      </c>
      <c r="D31" t="s">
        <v>139</v>
      </c>
      <c r="E31">
        <v>28</v>
      </c>
      <c r="F31">
        <v>1.5</v>
      </c>
      <c r="G31">
        <v>0.2</v>
      </c>
      <c r="H31">
        <v>4.0999999999999996</v>
      </c>
      <c r="I31">
        <f t="shared" si="0"/>
        <v>120</v>
      </c>
      <c r="J31">
        <v>118</v>
      </c>
      <c r="K31" s="1" t="s">
        <v>15</v>
      </c>
      <c r="L31" s="4" t="s">
        <v>452</v>
      </c>
      <c r="M31" s="4" t="s">
        <v>453</v>
      </c>
      <c r="N31" s="5" t="s">
        <v>397</v>
      </c>
    </row>
    <row r="32" spans="1:14" ht="15.6" x14ac:dyDescent="0.3">
      <c r="A32" t="s">
        <v>142</v>
      </c>
      <c r="B32" t="s">
        <v>85</v>
      </c>
      <c r="C32" t="s">
        <v>143</v>
      </c>
      <c r="D32" t="s">
        <v>20</v>
      </c>
      <c r="E32">
        <v>4.5</v>
      </c>
      <c r="F32">
        <v>1</v>
      </c>
      <c r="G32">
        <v>0.1</v>
      </c>
      <c r="H32">
        <v>1.7</v>
      </c>
      <c r="I32">
        <f t="shared" si="0"/>
        <v>23</v>
      </c>
      <c r="J32">
        <v>19</v>
      </c>
      <c r="K32" s="1" t="s">
        <v>15</v>
      </c>
      <c r="L32" s="4" t="s">
        <v>454</v>
      </c>
      <c r="M32" s="4" t="s">
        <v>455</v>
      </c>
      <c r="N32" s="5" t="s">
        <v>397</v>
      </c>
    </row>
    <row r="33" spans="1:14" ht="15.6" x14ac:dyDescent="0.3">
      <c r="A33" t="s">
        <v>144</v>
      </c>
      <c r="B33" t="s">
        <v>85</v>
      </c>
      <c r="C33" t="s">
        <v>67</v>
      </c>
      <c r="D33" t="s">
        <v>145</v>
      </c>
      <c r="E33">
        <v>3.1</v>
      </c>
      <c r="F33">
        <v>2.6</v>
      </c>
      <c r="G33">
        <v>0.2</v>
      </c>
      <c r="H33">
        <v>2.1</v>
      </c>
      <c r="I33">
        <f t="shared" si="0"/>
        <v>25</v>
      </c>
      <c r="J33">
        <v>19</v>
      </c>
      <c r="K33" s="1" t="s">
        <v>15</v>
      </c>
      <c r="L33" s="4" t="s">
        <v>456</v>
      </c>
      <c r="M33" s="4" t="s">
        <v>457</v>
      </c>
      <c r="N33" s="5" t="s">
        <v>438</v>
      </c>
    </row>
    <row r="34" spans="1:14" ht="15.6" x14ac:dyDescent="0.3">
      <c r="A34" t="s">
        <v>146</v>
      </c>
      <c r="B34" t="s">
        <v>85</v>
      </c>
      <c r="C34" t="s">
        <v>134</v>
      </c>
      <c r="D34" t="s">
        <v>110</v>
      </c>
      <c r="E34">
        <v>4.7</v>
      </c>
      <c r="F34">
        <v>2.9</v>
      </c>
      <c r="G34">
        <v>0.4</v>
      </c>
      <c r="H34">
        <v>3.2</v>
      </c>
      <c r="I34">
        <f t="shared" si="0"/>
        <v>34</v>
      </c>
      <c r="J34">
        <v>27</v>
      </c>
      <c r="K34" s="1" t="s">
        <v>15</v>
      </c>
      <c r="L34" s="4" t="s">
        <v>458</v>
      </c>
      <c r="M34" s="4" t="s">
        <v>459</v>
      </c>
      <c r="N34" s="5" t="s">
        <v>397</v>
      </c>
    </row>
    <row r="35" spans="1:14" ht="15.6" x14ac:dyDescent="0.3">
      <c r="A35" t="s">
        <v>147</v>
      </c>
      <c r="B35" t="s">
        <v>85</v>
      </c>
      <c r="C35" t="s">
        <v>101</v>
      </c>
      <c r="D35" t="s">
        <v>14</v>
      </c>
      <c r="E35">
        <v>7.3</v>
      </c>
      <c r="F35">
        <v>1.2</v>
      </c>
      <c r="G35">
        <v>0.2</v>
      </c>
      <c r="H35">
        <v>3.1</v>
      </c>
      <c r="I35">
        <f t="shared" si="0"/>
        <v>36</v>
      </c>
      <c r="J35">
        <v>31</v>
      </c>
      <c r="K35" s="1" t="s">
        <v>15</v>
      </c>
      <c r="L35" s="4" t="s">
        <v>460</v>
      </c>
      <c r="M35" s="4" t="s">
        <v>461</v>
      </c>
      <c r="N35" s="5" t="s">
        <v>397</v>
      </c>
    </row>
    <row r="36" spans="1:14" ht="15.6" x14ac:dyDescent="0.3">
      <c r="A36" t="s">
        <v>148</v>
      </c>
      <c r="B36" t="s">
        <v>85</v>
      </c>
      <c r="C36" t="s">
        <v>55</v>
      </c>
      <c r="D36" t="s">
        <v>118</v>
      </c>
      <c r="E36">
        <v>3</v>
      </c>
      <c r="F36">
        <v>2.6</v>
      </c>
      <c r="G36">
        <v>0.3</v>
      </c>
      <c r="H36">
        <v>2.2000000000000002</v>
      </c>
      <c r="I36">
        <f t="shared" si="0"/>
        <v>25</v>
      </c>
      <c r="J36">
        <v>27</v>
      </c>
      <c r="K36" s="1" t="s">
        <v>15</v>
      </c>
      <c r="L36" s="4" t="s">
        <v>462</v>
      </c>
      <c r="M36" s="4" t="s">
        <v>463</v>
      </c>
      <c r="N36" s="5" t="s">
        <v>397</v>
      </c>
    </row>
  </sheetData>
  <hyperlinks>
    <hyperlink ref="K2" r:id="rId1" location="/food-search?query=Spinach" xr:uid="{00000000-0004-0000-0100-000000000000}"/>
    <hyperlink ref="K3" r:id="rId2" location="/food-search?query=Kale" xr:uid="{00000000-0004-0000-0100-000001000000}"/>
    <hyperlink ref="K4" r:id="rId3" location="/food-search?query=Broccoli" xr:uid="{00000000-0004-0000-0100-000002000000}"/>
    <hyperlink ref="K5" r:id="rId4" location="/food-search?query=Carrot" xr:uid="{00000000-0004-0000-0100-000003000000}"/>
    <hyperlink ref="K6" r:id="rId5" location="/food-search?query=Sweet+Potato" xr:uid="{00000000-0004-0000-0100-000004000000}"/>
    <hyperlink ref="K7" r:id="rId6" location="/food-search?query=Potato" xr:uid="{00000000-0004-0000-0100-000005000000}"/>
    <hyperlink ref="K8" r:id="rId7" location="/food-search?query=Cauliflower" xr:uid="{00000000-0004-0000-0100-000006000000}"/>
    <hyperlink ref="K9" r:id="rId8" location="/food-search?query=Bell+Pepper" xr:uid="{00000000-0004-0000-0100-000007000000}"/>
    <hyperlink ref="K10" r:id="rId9" location="/food-search?query=Tomato" xr:uid="{00000000-0004-0000-0100-000008000000}"/>
    <hyperlink ref="K11" r:id="rId10" location="/food-search?query=Onion" xr:uid="{00000000-0004-0000-0100-000009000000}"/>
    <hyperlink ref="K12" r:id="rId11" location="/food-search?query=Garlic" xr:uid="{00000000-0004-0000-0100-00000A000000}"/>
    <hyperlink ref="K13" r:id="rId12" location="/food-search?query=Mushroom" xr:uid="{00000000-0004-0000-0100-00000B000000}"/>
    <hyperlink ref="K14" r:id="rId13" location="/food-search?query=Cabbage" xr:uid="{00000000-0004-0000-0100-00000C000000}"/>
    <hyperlink ref="K15" r:id="rId14" location="/food-search?query=Brussels+Sprouts" xr:uid="{00000000-0004-0000-0100-00000D000000}"/>
    <hyperlink ref="K16" r:id="rId15" location="/food-search?query=Asparagus" xr:uid="{00000000-0004-0000-0100-00000E000000}"/>
    <hyperlink ref="K17" r:id="rId16" location="/food-search?query=Zucchini" xr:uid="{00000000-0004-0000-0100-00000F000000}"/>
    <hyperlink ref="K18" r:id="rId17" location="/food-search?query=Eggplant" xr:uid="{00000000-0004-0000-0100-000010000000}"/>
    <hyperlink ref="K19" r:id="rId18" location="/food-search?query=Green+Beans" xr:uid="{00000000-0004-0000-0100-000011000000}"/>
    <hyperlink ref="K20" r:id="rId19" location="/food-search?query=Bok+Choy" xr:uid="{00000000-0004-0000-0100-000012000000}"/>
    <hyperlink ref="K21" r:id="rId20" location="/food-search?query=Napa+Cabbage" xr:uid="{00000000-0004-0000-0100-000013000000}"/>
    <hyperlink ref="K22" r:id="rId21" location="/food-search?query=Okra+%28Lady%27s+Fingers%29" xr:uid="{00000000-0004-0000-0100-000014000000}"/>
    <hyperlink ref="K23" r:id="rId22" location="/food-search?query=Seaweed+%28Nori%29" xr:uid="{00000000-0004-0000-0100-000015000000}"/>
    <hyperlink ref="K24" r:id="rId23" location="/food-search?query=Daikon+Radish" xr:uid="{00000000-0004-0000-0100-000016000000}"/>
    <hyperlink ref="K25" r:id="rId24" location="/food-search?query=Lotus+Root" xr:uid="{00000000-0004-0000-0100-000017000000}"/>
    <hyperlink ref="K26" r:id="rId25" location="/food-search?query=Jicama" xr:uid="{00000000-0004-0000-0100-000018000000}"/>
    <hyperlink ref="K27" r:id="rId26" location="/food-search?query=Tindora+%28Ivy+Gourd%29" xr:uid="{00000000-0004-0000-0100-000019000000}"/>
    <hyperlink ref="K28" r:id="rId27" location="/food-search?query=Bitter+Melon+%28Karela%29" xr:uid="{00000000-0004-0000-0100-00001A000000}"/>
    <hyperlink ref="K29" r:id="rId28" location="/food-search?query=Drumstick+%28Moringa+Pods%29" xr:uid="{00000000-0004-0000-0100-00001B000000}"/>
    <hyperlink ref="K30" r:id="rId29" location="/food-search?query=Taro+Root+%28Arbi%29" xr:uid="{00000000-0004-0000-0100-00001C000000}"/>
    <hyperlink ref="K31" r:id="rId30" location="/food-search?query=Yam+%28African+White+Yam%29" xr:uid="{00000000-0004-0000-0100-00001D000000}"/>
    <hyperlink ref="K32" r:id="rId31" location="/food-search?query=Chayote" xr:uid="{00000000-0004-0000-0100-00001E000000}"/>
    <hyperlink ref="K33" r:id="rId32" location="/food-search?query=Water+Spinach+%28Kang+Kong%29" xr:uid="{00000000-0004-0000-0100-00001F000000}"/>
    <hyperlink ref="K34" r:id="rId33" location="/food-search?query=Mustard+Greens" xr:uid="{00000000-0004-0000-0100-000020000000}"/>
    <hyperlink ref="K35" r:id="rId34" location="/food-search?query=Fennel+%28Bulb%29" xr:uid="{00000000-0004-0000-0100-000021000000}"/>
    <hyperlink ref="K36" r:id="rId35" location="/food-search?query=Bamboo+Shoots" xr:uid="{00000000-0004-0000-0100-000022000000}"/>
    <hyperlink ref="N2" r:id="rId36" xr:uid="{00000000-0004-0000-0000-000000000000}"/>
    <hyperlink ref="N3" r:id="rId37" xr:uid="{00000000-0004-0000-0000-000001000000}"/>
    <hyperlink ref="N4" r:id="rId38" xr:uid="{00000000-0004-0000-0000-000002000000}"/>
    <hyperlink ref="N5" r:id="rId39" xr:uid="{00000000-0004-0000-0000-000003000000}"/>
    <hyperlink ref="N6" r:id="rId40" xr:uid="{00000000-0004-0000-0000-000004000000}"/>
    <hyperlink ref="N7" r:id="rId41" xr:uid="{00000000-0004-0000-0000-000005000000}"/>
    <hyperlink ref="N8" r:id="rId42" xr:uid="{00000000-0004-0000-0000-000006000000}"/>
    <hyperlink ref="N9" r:id="rId43" xr:uid="{00000000-0004-0000-0000-000007000000}"/>
    <hyperlink ref="N10" r:id="rId44" xr:uid="{00000000-0004-0000-0000-000008000000}"/>
    <hyperlink ref="N11" r:id="rId45" xr:uid="{00000000-0004-0000-0000-000009000000}"/>
    <hyperlink ref="N12" r:id="rId46" xr:uid="{00000000-0004-0000-0000-00000A000000}"/>
    <hyperlink ref="N13" r:id="rId47" xr:uid="{00000000-0004-0000-0000-00000B000000}"/>
    <hyperlink ref="N14" r:id="rId48" xr:uid="{00000000-0004-0000-0000-00000C000000}"/>
    <hyperlink ref="N15" r:id="rId49" xr:uid="{00000000-0004-0000-0000-00000D000000}"/>
    <hyperlink ref="N16" r:id="rId50" xr:uid="{00000000-0004-0000-0000-00000E000000}"/>
    <hyperlink ref="N17" r:id="rId51" xr:uid="{00000000-0004-0000-0000-00000F000000}"/>
    <hyperlink ref="N18" r:id="rId52" xr:uid="{00000000-0004-0000-0000-000010000000}"/>
    <hyperlink ref="N19" r:id="rId53" xr:uid="{00000000-0004-0000-0000-000011000000}"/>
    <hyperlink ref="N20" r:id="rId54" xr:uid="{00000000-0004-0000-0000-000012000000}"/>
    <hyperlink ref="N21" r:id="rId55" xr:uid="{00000000-0004-0000-0000-000013000000}"/>
    <hyperlink ref="N22" r:id="rId56" xr:uid="{00000000-0004-0000-0000-000014000000}"/>
    <hyperlink ref="N23" r:id="rId57" xr:uid="{00000000-0004-0000-0000-000015000000}"/>
    <hyperlink ref="N24" r:id="rId58" xr:uid="{00000000-0004-0000-0000-000016000000}"/>
    <hyperlink ref="N25" r:id="rId59" xr:uid="{00000000-0004-0000-0000-000017000000}"/>
    <hyperlink ref="N26" r:id="rId60" xr:uid="{00000000-0004-0000-0000-000018000000}"/>
    <hyperlink ref="N27" r:id="rId61" xr:uid="{00000000-0004-0000-0000-000019000000}"/>
    <hyperlink ref="N28" r:id="rId62" xr:uid="{00000000-0004-0000-0000-00001A000000}"/>
    <hyperlink ref="N29" r:id="rId63" xr:uid="{00000000-0004-0000-0000-00001B000000}"/>
    <hyperlink ref="N30" r:id="rId64" xr:uid="{00000000-0004-0000-0000-00001C000000}"/>
    <hyperlink ref="N31" r:id="rId65" xr:uid="{00000000-0004-0000-0000-00001D000000}"/>
    <hyperlink ref="N32" r:id="rId66" xr:uid="{00000000-0004-0000-0000-00001E000000}"/>
    <hyperlink ref="N33" r:id="rId67" xr:uid="{00000000-0004-0000-0000-00001F000000}"/>
    <hyperlink ref="N34" r:id="rId68" xr:uid="{00000000-0004-0000-0000-000020000000}"/>
    <hyperlink ref="N35" r:id="rId69" xr:uid="{00000000-0004-0000-0000-000021000000}"/>
    <hyperlink ref="N36" r:id="rId70" xr:uid="{00000000-0004-0000-0000-000022000000}"/>
  </hyperlinks>
  <pageMargins left="0.75" right="0.75" top="1" bottom="1" header="0.5" footer="0.5"/>
  <pageSetup orientation="portrait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D7C3"/>
  </sheetPr>
  <dimension ref="A1:N36"/>
  <sheetViews>
    <sheetView topLeftCell="E1" workbookViewId="0">
      <selection activeCell="C13" sqref="C13"/>
    </sheetView>
  </sheetViews>
  <sheetFormatPr defaultRowHeight="14.4" x14ac:dyDescent="0.3"/>
  <cols>
    <col min="1" max="1" width="23.109375" bestFit="1" customWidth="1"/>
    <col min="2" max="2" width="11.88671875" bestFit="1" customWidth="1"/>
    <col min="3" max="3" width="22.88671875" bestFit="1" customWidth="1"/>
    <col min="4" max="4" width="16" bestFit="1" customWidth="1"/>
    <col min="5" max="5" width="13.21875" bestFit="1" customWidth="1"/>
    <col min="6" max="6" width="14.5546875" bestFit="1" customWidth="1"/>
    <col min="7" max="7" width="11.109375" bestFit="1" customWidth="1"/>
    <col min="8" max="8" width="12.5546875" bestFit="1" customWidth="1"/>
    <col min="9" max="9" width="26.44140625" bestFit="1" customWidth="1"/>
    <col min="10" max="10" width="22.77734375" bestFit="1" customWidth="1"/>
    <col min="11" max="11" width="12.88671875" bestFit="1" customWidth="1"/>
    <col min="12" max="12" width="21.6640625" style="4" bestFit="1" customWidth="1"/>
    <col min="13" max="13" width="48.77734375" style="4" bestFit="1" customWidth="1"/>
    <col min="14" max="14" width="17.5546875" style="4" bestFit="1" customWidth="1"/>
  </cols>
  <sheetData>
    <row r="1" spans="1:14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322</v>
      </c>
      <c r="M1" s="13" t="s">
        <v>323</v>
      </c>
      <c r="N1" s="12" t="s">
        <v>10</v>
      </c>
    </row>
    <row r="2" spans="1:14" ht="15.6" x14ac:dyDescent="0.3">
      <c r="A2" t="s">
        <v>149</v>
      </c>
      <c r="B2" t="s">
        <v>150</v>
      </c>
      <c r="C2" t="s">
        <v>53</v>
      </c>
      <c r="D2" t="s">
        <v>151</v>
      </c>
      <c r="E2">
        <v>27.4</v>
      </c>
      <c r="F2">
        <v>8.9</v>
      </c>
      <c r="G2">
        <v>2.6</v>
      </c>
      <c r="H2">
        <v>7.6</v>
      </c>
      <c r="I2">
        <f t="shared" ref="I2:I36" si="0">ROUND(4*E2+4*F2+9*G2,0)</f>
        <v>169</v>
      </c>
      <c r="J2">
        <v>164</v>
      </c>
      <c r="K2" s="1" t="s">
        <v>15</v>
      </c>
      <c r="L2" s="4" t="s">
        <v>464</v>
      </c>
      <c r="M2" s="4" t="s">
        <v>465</v>
      </c>
      <c r="N2" s="5" t="s">
        <v>397</v>
      </c>
    </row>
    <row r="3" spans="1:14" ht="15.6" x14ac:dyDescent="0.3">
      <c r="A3" t="s">
        <v>152</v>
      </c>
      <c r="B3" t="s">
        <v>150</v>
      </c>
      <c r="C3" t="s">
        <v>57</v>
      </c>
      <c r="D3" t="s">
        <v>151</v>
      </c>
      <c r="E3">
        <v>23.7</v>
      </c>
      <c r="F3">
        <v>8.9</v>
      </c>
      <c r="G3">
        <v>0.5</v>
      </c>
      <c r="H3">
        <v>8.6999999999999993</v>
      </c>
      <c r="I3">
        <f t="shared" si="0"/>
        <v>135</v>
      </c>
      <c r="J3">
        <v>132</v>
      </c>
      <c r="K3" s="1" t="s">
        <v>15</v>
      </c>
      <c r="L3" s="4" t="s">
        <v>466</v>
      </c>
      <c r="M3" s="4" t="s">
        <v>467</v>
      </c>
      <c r="N3" s="5" t="s">
        <v>397</v>
      </c>
    </row>
    <row r="4" spans="1:14" ht="15.6" x14ac:dyDescent="0.3">
      <c r="A4" t="s">
        <v>153</v>
      </c>
      <c r="B4" t="s">
        <v>150</v>
      </c>
      <c r="C4" t="s">
        <v>131</v>
      </c>
      <c r="D4" t="s">
        <v>151</v>
      </c>
      <c r="E4">
        <v>21.4</v>
      </c>
      <c r="F4">
        <v>9</v>
      </c>
      <c r="G4">
        <v>0.7</v>
      </c>
      <c r="H4">
        <v>9</v>
      </c>
      <c r="I4">
        <f t="shared" si="0"/>
        <v>128</v>
      </c>
      <c r="J4">
        <v>143</v>
      </c>
      <c r="K4" s="1" t="s">
        <v>15</v>
      </c>
      <c r="L4" s="4" t="s">
        <v>468</v>
      </c>
      <c r="M4" s="4" t="s">
        <v>469</v>
      </c>
      <c r="N4" s="5" t="s">
        <v>397</v>
      </c>
    </row>
    <row r="5" spans="1:14" ht="15.6" x14ac:dyDescent="0.3">
      <c r="A5" t="s">
        <v>154</v>
      </c>
      <c r="B5" t="s">
        <v>150</v>
      </c>
      <c r="C5" t="s">
        <v>31</v>
      </c>
      <c r="D5" t="s">
        <v>151</v>
      </c>
      <c r="E5">
        <v>22.8</v>
      </c>
      <c r="F5">
        <v>8.6999999999999993</v>
      </c>
      <c r="G5">
        <v>0.6</v>
      </c>
      <c r="H5">
        <v>6.4</v>
      </c>
      <c r="I5">
        <f t="shared" si="0"/>
        <v>131</v>
      </c>
      <c r="J5">
        <v>127</v>
      </c>
      <c r="K5" s="1" t="s">
        <v>15</v>
      </c>
      <c r="L5" s="4" t="s">
        <v>470</v>
      </c>
      <c r="M5" s="4" t="s">
        <v>471</v>
      </c>
      <c r="N5" s="5" t="s">
        <v>397</v>
      </c>
    </row>
    <row r="6" spans="1:14" ht="15.6" x14ac:dyDescent="0.3">
      <c r="A6" t="s">
        <v>155</v>
      </c>
      <c r="B6" t="s">
        <v>150</v>
      </c>
      <c r="C6" t="s">
        <v>101</v>
      </c>
      <c r="D6" t="s">
        <v>151</v>
      </c>
      <c r="E6">
        <v>20</v>
      </c>
      <c r="F6">
        <v>8.3000000000000007</v>
      </c>
      <c r="G6">
        <v>0.6</v>
      </c>
      <c r="H6">
        <v>6.3</v>
      </c>
      <c r="I6">
        <f t="shared" si="0"/>
        <v>119</v>
      </c>
      <c r="J6">
        <v>139</v>
      </c>
      <c r="K6" s="1" t="s">
        <v>15</v>
      </c>
      <c r="L6" s="4" t="s">
        <v>466</v>
      </c>
      <c r="M6" s="4" t="s">
        <v>472</v>
      </c>
      <c r="N6" s="5" t="s">
        <v>397</v>
      </c>
    </row>
    <row r="7" spans="1:14" ht="15.6" x14ac:dyDescent="0.3">
      <c r="A7" t="s">
        <v>156</v>
      </c>
      <c r="B7" t="s">
        <v>150</v>
      </c>
      <c r="C7" t="s">
        <v>157</v>
      </c>
      <c r="D7" t="s">
        <v>151</v>
      </c>
      <c r="E7">
        <v>20.100000000000001</v>
      </c>
      <c r="F7">
        <v>9</v>
      </c>
      <c r="G7">
        <v>0.4</v>
      </c>
      <c r="H7">
        <v>7.9</v>
      </c>
      <c r="I7">
        <f t="shared" si="0"/>
        <v>120</v>
      </c>
      <c r="J7">
        <v>116</v>
      </c>
      <c r="K7" s="1" t="s">
        <v>15</v>
      </c>
      <c r="L7" s="4" t="s">
        <v>473</v>
      </c>
      <c r="M7" s="4" t="s">
        <v>474</v>
      </c>
      <c r="N7" s="5" t="s">
        <v>397</v>
      </c>
    </row>
    <row r="8" spans="1:14" ht="15.6" x14ac:dyDescent="0.3">
      <c r="A8" t="s">
        <v>158</v>
      </c>
      <c r="B8" t="s">
        <v>150</v>
      </c>
      <c r="C8" t="s">
        <v>31</v>
      </c>
      <c r="D8" t="s">
        <v>151</v>
      </c>
      <c r="E8">
        <v>20.100000000000001</v>
      </c>
      <c r="F8">
        <v>9</v>
      </c>
      <c r="G8">
        <v>0.4</v>
      </c>
      <c r="H8">
        <v>7.9</v>
      </c>
      <c r="I8">
        <f t="shared" si="0"/>
        <v>120</v>
      </c>
      <c r="J8">
        <v>116</v>
      </c>
      <c r="K8" s="1" t="s">
        <v>15</v>
      </c>
      <c r="L8" s="4" t="s">
        <v>473</v>
      </c>
      <c r="M8" s="4" t="s">
        <v>474</v>
      </c>
      <c r="N8" s="5" t="s">
        <v>397</v>
      </c>
    </row>
    <row r="9" spans="1:14" ht="15.6" x14ac:dyDescent="0.3">
      <c r="A9" t="s">
        <v>159</v>
      </c>
      <c r="B9" t="s">
        <v>150</v>
      </c>
      <c r="C9" t="s">
        <v>48</v>
      </c>
      <c r="D9" t="s">
        <v>151</v>
      </c>
      <c r="E9">
        <v>20.100000000000001</v>
      </c>
      <c r="F9">
        <v>9</v>
      </c>
      <c r="G9">
        <v>0.4</v>
      </c>
      <c r="H9">
        <v>7.9</v>
      </c>
      <c r="I9">
        <f t="shared" si="0"/>
        <v>120</v>
      </c>
      <c r="J9">
        <v>116</v>
      </c>
      <c r="K9" s="1" t="s">
        <v>15</v>
      </c>
      <c r="L9" s="4" t="s">
        <v>473</v>
      </c>
      <c r="M9" s="4" t="s">
        <v>474</v>
      </c>
      <c r="N9" s="5" t="s">
        <v>397</v>
      </c>
    </row>
    <row r="10" spans="1:14" ht="15.6" x14ac:dyDescent="0.3">
      <c r="A10" t="s">
        <v>160</v>
      </c>
      <c r="B10" t="s">
        <v>150</v>
      </c>
      <c r="C10" t="s">
        <v>17</v>
      </c>
      <c r="D10" t="s">
        <v>151</v>
      </c>
      <c r="E10">
        <v>21.1</v>
      </c>
      <c r="F10">
        <v>8.3000000000000007</v>
      </c>
      <c r="G10">
        <v>0.4</v>
      </c>
      <c r="H10">
        <v>8.3000000000000007</v>
      </c>
      <c r="I10">
        <f t="shared" si="0"/>
        <v>121</v>
      </c>
      <c r="J10">
        <v>118</v>
      </c>
      <c r="K10" s="1" t="s">
        <v>15</v>
      </c>
      <c r="L10" s="4" t="s">
        <v>475</v>
      </c>
      <c r="M10" s="4" t="s">
        <v>476</v>
      </c>
      <c r="N10" s="5" t="s">
        <v>397</v>
      </c>
    </row>
    <row r="11" spans="1:14" ht="15.6" x14ac:dyDescent="0.3">
      <c r="A11" t="s">
        <v>161</v>
      </c>
      <c r="B11" t="s">
        <v>150</v>
      </c>
      <c r="C11" t="s">
        <v>162</v>
      </c>
      <c r="D11" t="s">
        <v>151</v>
      </c>
      <c r="E11">
        <v>21.1</v>
      </c>
      <c r="F11">
        <v>7.7</v>
      </c>
      <c r="G11">
        <v>0.6</v>
      </c>
      <c r="H11">
        <v>6.5</v>
      </c>
      <c r="I11">
        <f t="shared" si="0"/>
        <v>121</v>
      </c>
      <c r="J11">
        <v>116</v>
      </c>
      <c r="K11" s="1" t="s">
        <v>15</v>
      </c>
      <c r="L11" s="4" t="s">
        <v>477</v>
      </c>
      <c r="M11" s="4" t="s">
        <v>478</v>
      </c>
      <c r="N11" s="5" t="s">
        <v>397</v>
      </c>
    </row>
    <row r="12" spans="1:14" ht="15.6" x14ac:dyDescent="0.3">
      <c r="A12" t="s">
        <v>163</v>
      </c>
      <c r="B12" t="s">
        <v>150</v>
      </c>
      <c r="C12" t="s">
        <v>48</v>
      </c>
      <c r="D12" t="s">
        <v>151</v>
      </c>
      <c r="E12">
        <v>19.7</v>
      </c>
      <c r="F12">
        <v>7.6</v>
      </c>
      <c r="G12">
        <v>0.7</v>
      </c>
      <c r="H12">
        <v>5.4</v>
      </c>
      <c r="I12">
        <f t="shared" si="0"/>
        <v>116</v>
      </c>
      <c r="J12">
        <v>110</v>
      </c>
      <c r="K12" s="1" t="s">
        <v>15</v>
      </c>
      <c r="L12" s="4" t="s">
        <v>479</v>
      </c>
      <c r="M12" s="4" t="s">
        <v>480</v>
      </c>
      <c r="N12" s="5" t="s">
        <v>397</v>
      </c>
    </row>
    <row r="13" spans="1:14" ht="15.6" x14ac:dyDescent="0.3">
      <c r="A13" t="s">
        <v>164</v>
      </c>
      <c r="B13" t="s">
        <v>150</v>
      </c>
      <c r="C13" t="s">
        <v>65</v>
      </c>
      <c r="D13" t="s">
        <v>151</v>
      </c>
      <c r="E13">
        <v>27</v>
      </c>
      <c r="F13">
        <v>7.5</v>
      </c>
      <c r="G13">
        <v>0.1</v>
      </c>
      <c r="H13">
        <v>7.3</v>
      </c>
      <c r="I13">
        <f t="shared" si="0"/>
        <v>139</v>
      </c>
      <c r="J13">
        <v>128</v>
      </c>
      <c r="K13" s="1" t="s">
        <v>15</v>
      </c>
      <c r="L13" s="4" t="s">
        <v>481</v>
      </c>
      <c r="M13" s="4" t="s">
        <v>482</v>
      </c>
      <c r="N13" s="5" t="s">
        <v>397</v>
      </c>
    </row>
    <row r="14" spans="1:14" ht="15.6" x14ac:dyDescent="0.3">
      <c r="A14" t="s">
        <v>165</v>
      </c>
      <c r="B14" t="s">
        <v>150</v>
      </c>
      <c r="C14" t="s">
        <v>134</v>
      </c>
      <c r="D14" t="s">
        <v>151</v>
      </c>
      <c r="E14">
        <v>19.2</v>
      </c>
      <c r="F14">
        <v>7</v>
      </c>
      <c r="G14">
        <v>0.4</v>
      </c>
      <c r="H14">
        <v>7.6</v>
      </c>
      <c r="I14">
        <f t="shared" si="0"/>
        <v>108</v>
      </c>
      <c r="J14">
        <v>105</v>
      </c>
      <c r="K14" s="1" t="s">
        <v>15</v>
      </c>
      <c r="L14" s="4" t="s">
        <v>483</v>
      </c>
      <c r="M14" s="4" t="s">
        <v>484</v>
      </c>
      <c r="N14" s="5" t="s">
        <v>397</v>
      </c>
    </row>
    <row r="15" spans="1:14" ht="15.6" x14ac:dyDescent="0.3">
      <c r="A15" t="s">
        <v>166</v>
      </c>
      <c r="B15" t="s">
        <v>150</v>
      </c>
      <c r="C15" t="s">
        <v>167</v>
      </c>
      <c r="D15" t="s">
        <v>168</v>
      </c>
      <c r="E15">
        <v>9.9</v>
      </c>
      <c r="F15">
        <v>11.9</v>
      </c>
      <c r="G15">
        <v>5.2</v>
      </c>
      <c r="H15">
        <v>5.2</v>
      </c>
      <c r="I15">
        <f t="shared" si="0"/>
        <v>134</v>
      </c>
      <c r="J15">
        <v>122</v>
      </c>
      <c r="K15" s="1" t="s">
        <v>15</v>
      </c>
      <c r="L15" s="4" t="s">
        <v>485</v>
      </c>
      <c r="M15" s="4" t="s">
        <v>486</v>
      </c>
      <c r="N15" s="5" t="s">
        <v>397</v>
      </c>
    </row>
    <row r="16" spans="1:14" ht="15.6" x14ac:dyDescent="0.3">
      <c r="A16" t="s">
        <v>169</v>
      </c>
      <c r="B16" t="s">
        <v>150</v>
      </c>
      <c r="C16" t="s">
        <v>31</v>
      </c>
      <c r="D16" t="s">
        <v>168</v>
      </c>
      <c r="E16">
        <v>27</v>
      </c>
      <c r="F16">
        <v>25</v>
      </c>
      <c r="G16">
        <v>1.6</v>
      </c>
      <c r="H16">
        <v>18.3</v>
      </c>
      <c r="I16">
        <f t="shared" si="0"/>
        <v>222</v>
      </c>
      <c r="J16">
        <v>341</v>
      </c>
      <c r="K16" s="1" t="s">
        <v>15</v>
      </c>
      <c r="L16" s="4" t="s">
        <v>487</v>
      </c>
      <c r="M16" s="4" t="s">
        <v>488</v>
      </c>
      <c r="N16" s="5" t="s">
        <v>438</v>
      </c>
    </row>
    <row r="17" spans="1:14" ht="15.6" x14ac:dyDescent="0.3">
      <c r="A17" t="s">
        <v>170</v>
      </c>
      <c r="B17" t="s">
        <v>150</v>
      </c>
      <c r="C17" t="s">
        <v>31</v>
      </c>
      <c r="D17" t="s">
        <v>151</v>
      </c>
      <c r="E17">
        <v>27.7</v>
      </c>
      <c r="F17">
        <v>22.3</v>
      </c>
      <c r="G17">
        <v>1.5</v>
      </c>
      <c r="H17">
        <v>15</v>
      </c>
      <c r="I17">
        <f t="shared" si="0"/>
        <v>214</v>
      </c>
      <c r="J17">
        <v>343</v>
      </c>
      <c r="K17" s="1" t="s">
        <v>15</v>
      </c>
      <c r="L17" s="4" t="s">
        <v>468</v>
      </c>
      <c r="M17" s="4" t="s">
        <v>489</v>
      </c>
      <c r="N17" s="5" t="s">
        <v>438</v>
      </c>
    </row>
    <row r="18" spans="1:14" ht="15.6" x14ac:dyDescent="0.3">
      <c r="A18" t="s">
        <v>171</v>
      </c>
      <c r="B18" t="s">
        <v>150</v>
      </c>
      <c r="C18" t="s">
        <v>31</v>
      </c>
      <c r="D18" t="s">
        <v>151</v>
      </c>
      <c r="E18">
        <v>62.6</v>
      </c>
      <c r="F18">
        <v>24.5</v>
      </c>
      <c r="G18">
        <v>1.2</v>
      </c>
      <c r="H18">
        <v>16.3</v>
      </c>
      <c r="I18">
        <f t="shared" si="0"/>
        <v>359</v>
      </c>
      <c r="J18">
        <v>347</v>
      </c>
      <c r="K18" s="1" t="s">
        <v>15</v>
      </c>
      <c r="L18" s="4" t="s">
        <v>473</v>
      </c>
      <c r="M18" s="4" t="s">
        <v>490</v>
      </c>
      <c r="N18" s="5" t="s">
        <v>438</v>
      </c>
    </row>
    <row r="19" spans="1:14" ht="15.6" x14ac:dyDescent="0.3">
      <c r="A19" t="s">
        <v>172</v>
      </c>
      <c r="B19" t="s">
        <v>150</v>
      </c>
      <c r="C19" t="s">
        <v>31</v>
      </c>
      <c r="D19" t="s">
        <v>151</v>
      </c>
      <c r="E19">
        <v>60.1</v>
      </c>
      <c r="F19">
        <v>25.8</v>
      </c>
      <c r="G19">
        <v>1.3</v>
      </c>
      <c r="H19">
        <v>11.2</v>
      </c>
      <c r="I19">
        <f t="shared" si="0"/>
        <v>355</v>
      </c>
      <c r="J19">
        <v>352</v>
      </c>
      <c r="K19" s="1" t="s">
        <v>15</v>
      </c>
      <c r="L19" s="4" t="s">
        <v>473</v>
      </c>
      <c r="M19" s="4" t="s">
        <v>491</v>
      </c>
      <c r="N19" s="5" t="s">
        <v>438</v>
      </c>
    </row>
    <row r="20" spans="1:14" ht="15.6" x14ac:dyDescent="0.3">
      <c r="A20" t="s">
        <v>173</v>
      </c>
      <c r="B20" t="s">
        <v>150</v>
      </c>
      <c r="C20" t="s">
        <v>31</v>
      </c>
      <c r="D20" t="s">
        <v>151</v>
      </c>
      <c r="E20">
        <v>22.8</v>
      </c>
      <c r="F20">
        <v>8.6999999999999993</v>
      </c>
      <c r="G20">
        <v>0.6</v>
      </c>
      <c r="H20">
        <v>6.4</v>
      </c>
      <c r="I20">
        <f t="shared" si="0"/>
        <v>131</v>
      </c>
      <c r="J20">
        <v>127</v>
      </c>
      <c r="K20" s="1" t="s">
        <v>15</v>
      </c>
      <c r="L20" s="4" t="s">
        <v>470</v>
      </c>
      <c r="M20" s="4" t="s">
        <v>471</v>
      </c>
      <c r="N20" s="5" t="s">
        <v>397</v>
      </c>
    </row>
    <row r="21" spans="1:14" ht="15.6" x14ac:dyDescent="0.3">
      <c r="A21" t="s">
        <v>174</v>
      </c>
      <c r="B21" t="s">
        <v>150</v>
      </c>
      <c r="C21" t="s">
        <v>17</v>
      </c>
      <c r="D21" t="s">
        <v>151</v>
      </c>
      <c r="E21">
        <v>26.8</v>
      </c>
      <c r="F21">
        <v>8.1999999999999993</v>
      </c>
      <c r="G21">
        <v>0.6</v>
      </c>
      <c r="H21">
        <v>10.5</v>
      </c>
      <c r="I21">
        <f t="shared" si="0"/>
        <v>145</v>
      </c>
      <c r="J21">
        <v>140</v>
      </c>
      <c r="K21" s="1" t="s">
        <v>15</v>
      </c>
      <c r="L21" s="4" t="s">
        <v>466</v>
      </c>
      <c r="M21" s="4" t="s">
        <v>492</v>
      </c>
      <c r="N21" s="5" t="s">
        <v>397</v>
      </c>
    </row>
    <row r="22" spans="1:14" ht="15.6" x14ac:dyDescent="0.3">
      <c r="A22" t="s">
        <v>175</v>
      </c>
      <c r="B22" t="s">
        <v>150</v>
      </c>
      <c r="C22" t="s">
        <v>17</v>
      </c>
      <c r="D22" t="s">
        <v>151</v>
      </c>
      <c r="E22">
        <v>20.9</v>
      </c>
      <c r="F22">
        <v>7.8</v>
      </c>
      <c r="G22">
        <v>0.7</v>
      </c>
      <c r="H22">
        <v>7</v>
      </c>
      <c r="I22">
        <f t="shared" si="0"/>
        <v>121</v>
      </c>
      <c r="J22">
        <v>123</v>
      </c>
      <c r="K22" s="1" t="s">
        <v>15</v>
      </c>
      <c r="L22" s="4" t="s">
        <v>493</v>
      </c>
      <c r="M22" s="4" t="s">
        <v>494</v>
      </c>
      <c r="N22" s="5" t="s">
        <v>397</v>
      </c>
    </row>
    <row r="23" spans="1:14" ht="15.6" x14ac:dyDescent="0.3">
      <c r="A23" t="s">
        <v>176</v>
      </c>
      <c r="B23" t="s">
        <v>150</v>
      </c>
      <c r="C23" t="s">
        <v>17</v>
      </c>
      <c r="D23" t="s">
        <v>151</v>
      </c>
      <c r="E23">
        <v>22.3</v>
      </c>
      <c r="F23">
        <v>8.3000000000000007</v>
      </c>
      <c r="G23">
        <v>0.6</v>
      </c>
      <c r="H23">
        <v>7</v>
      </c>
      <c r="I23">
        <f t="shared" si="0"/>
        <v>128</v>
      </c>
      <c r="J23">
        <v>118</v>
      </c>
      <c r="K23" s="1" t="s">
        <v>15</v>
      </c>
      <c r="L23" s="4" t="s">
        <v>495</v>
      </c>
      <c r="M23" s="4" t="s">
        <v>496</v>
      </c>
      <c r="N23" s="5" t="s">
        <v>397</v>
      </c>
    </row>
    <row r="24" spans="1:14" ht="15.6" x14ac:dyDescent="0.3">
      <c r="A24" t="s">
        <v>177</v>
      </c>
      <c r="B24" t="s">
        <v>150</v>
      </c>
      <c r="C24" t="s">
        <v>31</v>
      </c>
      <c r="D24" t="s">
        <v>151</v>
      </c>
      <c r="E24">
        <v>60</v>
      </c>
      <c r="F24">
        <v>22</v>
      </c>
      <c r="G24">
        <v>6</v>
      </c>
      <c r="H24">
        <v>11</v>
      </c>
      <c r="I24">
        <f t="shared" si="0"/>
        <v>382</v>
      </c>
      <c r="J24">
        <v>369</v>
      </c>
      <c r="K24" s="1" t="s">
        <v>15</v>
      </c>
      <c r="L24" s="4" t="s">
        <v>473</v>
      </c>
      <c r="M24" s="4" t="s">
        <v>497</v>
      </c>
      <c r="N24" s="5" t="s">
        <v>438</v>
      </c>
    </row>
    <row r="25" spans="1:14" ht="15.6" x14ac:dyDescent="0.3">
      <c r="A25" t="s">
        <v>178</v>
      </c>
      <c r="B25" t="s">
        <v>150</v>
      </c>
      <c r="C25" t="s">
        <v>179</v>
      </c>
      <c r="D25" t="s">
        <v>180</v>
      </c>
      <c r="E25">
        <v>9.4</v>
      </c>
      <c r="F25">
        <v>19</v>
      </c>
      <c r="G25">
        <v>11</v>
      </c>
      <c r="H25">
        <v>5.4</v>
      </c>
      <c r="I25">
        <f t="shared" si="0"/>
        <v>213</v>
      </c>
      <c r="J25">
        <v>195</v>
      </c>
      <c r="K25" s="1" t="s">
        <v>15</v>
      </c>
      <c r="L25" s="4" t="s">
        <v>498</v>
      </c>
      <c r="M25" s="4" t="s">
        <v>499</v>
      </c>
      <c r="N25" s="5" t="s">
        <v>397</v>
      </c>
    </row>
    <row r="26" spans="1:14" ht="15.6" x14ac:dyDescent="0.3">
      <c r="A26" t="s">
        <v>181</v>
      </c>
      <c r="B26" t="s">
        <v>150</v>
      </c>
      <c r="C26" t="s">
        <v>129</v>
      </c>
      <c r="D26" t="s">
        <v>182</v>
      </c>
      <c r="E26">
        <v>1.9</v>
      </c>
      <c r="F26">
        <v>8.1</v>
      </c>
      <c r="G26">
        <v>4.8</v>
      </c>
      <c r="H26">
        <v>0.3</v>
      </c>
      <c r="I26">
        <f t="shared" si="0"/>
        <v>83</v>
      </c>
      <c r="J26">
        <v>76</v>
      </c>
      <c r="K26" s="1" t="s">
        <v>15</v>
      </c>
      <c r="L26" s="4" t="s">
        <v>500</v>
      </c>
      <c r="M26" s="4" t="s">
        <v>501</v>
      </c>
      <c r="N26" s="5" t="s">
        <v>397</v>
      </c>
    </row>
    <row r="27" spans="1:14" ht="15.6" x14ac:dyDescent="0.3">
      <c r="A27" t="s">
        <v>183</v>
      </c>
      <c r="B27" t="s">
        <v>150</v>
      </c>
      <c r="C27" t="s">
        <v>184</v>
      </c>
      <c r="D27" t="s">
        <v>151</v>
      </c>
      <c r="E27">
        <v>60</v>
      </c>
      <c r="F27">
        <v>19</v>
      </c>
      <c r="G27">
        <v>6</v>
      </c>
      <c r="H27">
        <v>6</v>
      </c>
      <c r="I27">
        <f t="shared" si="0"/>
        <v>370</v>
      </c>
      <c r="J27">
        <v>361</v>
      </c>
      <c r="K27" s="1" t="s">
        <v>15</v>
      </c>
      <c r="L27" s="4" t="s">
        <v>468</v>
      </c>
      <c r="M27" s="4" t="s">
        <v>502</v>
      </c>
      <c r="N27" s="5" t="s">
        <v>438</v>
      </c>
    </row>
    <row r="28" spans="1:14" ht="15.6" x14ac:dyDescent="0.3">
      <c r="A28" t="s">
        <v>185</v>
      </c>
      <c r="B28" t="s">
        <v>150</v>
      </c>
      <c r="C28" t="s">
        <v>186</v>
      </c>
      <c r="D28" t="s">
        <v>151</v>
      </c>
      <c r="E28">
        <v>61</v>
      </c>
      <c r="F28">
        <v>23</v>
      </c>
      <c r="G28">
        <v>2</v>
      </c>
      <c r="H28">
        <v>6</v>
      </c>
      <c r="I28">
        <f t="shared" si="0"/>
        <v>354</v>
      </c>
      <c r="J28">
        <v>364</v>
      </c>
      <c r="K28" s="1" t="s">
        <v>15</v>
      </c>
      <c r="L28" s="4" t="s">
        <v>503</v>
      </c>
      <c r="M28" s="4" t="s">
        <v>504</v>
      </c>
      <c r="N28" s="5" t="s">
        <v>438</v>
      </c>
    </row>
    <row r="29" spans="1:14" ht="15.6" x14ac:dyDescent="0.3">
      <c r="A29" t="s">
        <v>187</v>
      </c>
      <c r="B29" t="s">
        <v>150</v>
      </c>
      <c r="C29" t="s">
        <v>48</v>
      </c>
      <c r="D29" t="s">
        <v>151</v>
      </c>
      <c r="E29">
        <v>10.4</v>
      </c>
      <c r="F29">
        <v>15.6</v>
      </c>
      <c r="G29">
        <v>2.9</v>
      </c>
      <c r="H29">
        <v>2.8</v>
      </c>
      <c r="I29">
        <f t="shared" si="0"/>
        <v>130</v>
      </c>
      <c r="J29">
        <v>119</v>
      </c>
      <c r="K29" s="1" t="s">
        <v>15</v>
      </c>
      <c r="L29" s="4" t="s">
        <v>505</v>
      </c>
      <c r="M29" s="4" t="s">
        <v>506</v>
      </c>
      <c r="N29" s="5" t="s">
        <v>397</v>
      </c>
    </row>
    <row r="30" spans="1:14" ht="15.6" x14ac:dyDescent="0.3">
      <c r="A30" t="s">
        <v>188</v>
      </c>
      <c r="B30" t="s">
        <v>150</v>
      </c>
      <c r="C30" t="s">
        <v>101</v>
      </c>
      <c r="D30" t="s">
        <v>151</v>
      </c>
      <c r="E30">
        <v>24</v>
      </c>
      <c r="F30">
        <v>9</v>
      </c>
      <c r="G30">
        <v>0.9</v>
      </c>
      <c r="H30">
        <v>8</v>
      </c>
      <c r="I30">
        <f t="shared" si="0"/>
        <v>140</v>
      </c>
      <c r="J30">
        <v>139</v>
      </c>
      <c r="K30" s="1" t="s">
        <v>15</v>
      </c>
      <c r="L30" s="4" t="s">
        <v>481</v>
      </c>
      <c r="M30" s="4" t="s">
        <v>507</v>
      </c>
      <c r="N30" s="5" t="s">
        <v>397</v>
      </c>
    </row>
    <row r="31" spans="1:14" ht="15.6" x14ac:dyDescent="0.3">
      <c r="A31" t="s">
        <v>189</v>
      </c>
      <c r="B31" t="s">
        <v>150</v>
      </c>
      <c r="C31" t="s">
        <v>31</v>
      </c>
      <c r="D31" t="s">
        <v>151</v>
      </c>
      <c r="E31">
        <v>60</v>
      </c>
      <c r="F31">
        <v>25</v>
      </c>
      <c r="G31">
        <v>1</v>
      </c>
      <c r="H31">
        <v>11</v>
      </c>
      <c r="I31">
        <f t="shared" si="0"/>
        <v>349</v>
      </c>
      <c r="J31">
        <v>352</v>
      </c>
      <c r="K31" s="1" t="s">
        <v>15</v>
      </c>
      <c r="L31" s="4" t="s">
        <v>508</v>
      </c>
      <c r="M31" s="4" t="s">
        <v>509</v>
      </c>
      <c r="N31" s="5" t="s">
        <v>438</v>
      </c>
    </row>
    <row r="32" spans="1:14" ht="15.6" x14ac:dyDescent="0.3">
      <c r="A32" t="s">
        <v>190</v>
      </c>
      <c r="B32" t="s">
        <v>150</v>
      </c>
      <c r="C32" t="s">
        <v>31</v>
      </c>
      <c r="D32" t="s">
        <v>151</v>
      </c>
      <c r="E32">
        <v>57</v>
      </c>
      <c r="F32">
        <v>22</v>
      </c>
      <c r="G32">
        <v>0.5</v>
      </c>
      <c r="H32">
        <v>5.3</v>
      </c>
      <c r="I32">
        <f t="shared" si="0"/>
        <v>321</v>
      </c>
      <c r="J32">
        <v>321</v>
      </c>
      <c r="K32" s="1" t="s">
        <v>15</v>
      </c>
      <c r="L32" s="4" t="s">
        <v>479</v>
      </c>
      <c r="M32" s="4" t="s">
        <v>510</v>
      </c>
      <c r="N32" s="5" t="s">
        <v>438</v>
      </c>
    </row>
    <row r="33" spans="1:14" ht="15.6" x14ac:dyDescent="0.3">
      <c r="A33" t="s">
        <v>191</v>
      </c>
      <c r="B33" t="s">
        <v>150</v>
      </c>
      <c r="C33" t="s">
        <v>31</v>
      </c>
      <c r="D33" t="s">
        <v>151</v>
      </c>
      <c r="E33">
        <v>61</v>
      </c>
      <c r="F33">
        <v>23</v>
      </c>
      <c r="G33">
        <v>1.6</v>
      </c>
      <c r="H33">
        <v>6</v>
      </c>
      <c r="I33">
        <f t="shared" si="0"/>
        <v>350</v>
      </c>
      <c r="J33">
        <v>343</v>
      </c>
      <c r="K33" s="1" t="s">
        <v>15</v>
      </c>
      <c r="L33" s="4" t="s">
        <v>473</v>
      </c>
      <c r="M33" s="4" t="s">
        <v>504</v>
      </c>
      <c r="N33" s="5" t="s">
        <v>438</v>
      </c>
    </row>
    <row r="34" spans="1:14" ht="15.6" x14ac:dyDescent="0.3">
      <c r="A34" t="s">
        <v>192</v>
      </c>
      <c r="B34" t="s">
        <v>150</v>
      </c>
      <c r="C34" t="s">
        <v>67</v>
      </c>
      <c r="D34" t="s">
        <v>182</v>
      </c>
      <c r="E34">
        <v>41</v>
      </c>
      <c r="F34">
        <v>30</v>
      </c>
      <c r="G34">
        <v>16</v>
      </c>
      <c r="H34">
        <v>0</v>
      </c>
      <c r="I34">
        <f t="shared" si="0"/>
        <v>428</v>
      </c>
      <c r="J34">
        <v>409</v>
      </c>
      <c r="K34" s="1" t="s">
        <v>15</v>
      </c>
      <c r="L34" s="4" t="s">
        <v>511</v>
      </c>
      <c r="M34" s="4" t="s">
        <v>512</v>
      </c>
      <c r="N34" s="5" t="s">
        <v>438</v>
      </c>
    </row>
    <row r="35" spans="1:14" ht="15.6" x14ac:dyDescent="0.3">
      <c r="A35" t="s">
        <v>193</v>
      </c>
      <c r="B35" t="s">
        <v>150</v>
      </c>
      <c r="C35" t="s">
        <v>112</v>
      </c>
      <c r="D35" t="s">
        <v>151</v>
      </c>
      <c r="E35">
        <v>21</v>
      </c>
      <c r="F35">
        <v>8</v>
      </c>
      <c r="G35">
        <v>0.5</v>
      </c>
      <c r="H35">
        <v>7</v>
      </c>
      <c r="I35">
        <f t="shared" si="0"/>
        <v>121</v>
      </c>
      <c r="J35">
        <v>125</v>
      </c>
      <c r="K35" s="1" t="s">
        <v>15</v>
      </c>
      <c r="L35" s="4" t="s">
        <v>511</v>
      </c>
      <c r="M35" s="4" t="s">
        <v>513</v>
      </c>
      <c r="N35" s="5" t="s">
        <v>397</v>
      </c>
    </row>
    <row r="36" spans="1:14" ht="15.6" x14ac:dyDescent="0.3">
      <c r="A36" t="s">
        <v>194</v>
      </c>
      <c r="B36" t="s">
        <v>150</v>
      </c>
      <c r="C36" t="s">
        <v>17</v>
      </c>
      <c r="D36" t="s">
        <v>151</v>
      </c>
      <c r="E36">
        <v>23</v>
      </c>
      <c r="F36">
        <v>9</v>
      </c>
      <c r="G36">
        <v>0.8</v>
      </c>
      <c r="H36">
        <v>8</v>
      </c>
      <c r="I36">
        <f t="shared" si="0"/>
        <v>135</v>
      </c>
      <c r="J36">
        <v>140</v>
      </c>
      <c r="K36" s="1" t="s">
        <v>15</v>
      </c>
      <c r="L36" s="4" t="s">
        <v>466</v>
      </c>
      <c r="M36" s="4" t="s">
        <v>492</v>
      </c>
      <c r="N36" s="5" t="s">
        <v>397</v>
      </c>
    </row>
  </sheetData>
  <hyperlinks>
    <hyperlink ref="K2" r:id="rId1" location="/food-search?query=Chickpeas+%28Garbanzo%29" xr:uid="{00000000-0004-0000-0200-000000000000}"/>
    <hyperlink ref="K3" r:id="rId2" location="/food-search?query=Black+Beans" xr:uid="{00000000-0004-0000-0200-000001000000}"/>
    <hyperlink ref="K4" r:id="rId3" location="/food-search?query=Pinto+Beans" xr:uid="{00000000-0004-0000-0200-000002000000}"/>
    <hyperlink ref="K5" r:id="rId4" location="/food-search?query=Kidney+Beans" xr:uid="{00000000-0004-0000-0200-000003000000}"/>
    <hyperlink ref="K6" r:id="rId5" location="/food-search?query=Cannellini+%28White+Kidney%29" xr:uid="{00000000-0004-0000-0200-000004000000}"/>
    <hyperlink ref="K7" r:id="rId6" location="/food-search?query=Brown+Lentils" xr:uid="{00000000-0004-0000-0200-000005000000}"/>
    <hyperlink ref="K8" r:id="rId7" location="/food-search?query=Red+Lentils" xr:uid="{00000000-0004-0000-0200-000006000000}"/>
    <hyperlink ref="K9" r:id="rId8" location="/food-search?query=Green+Lentils" xr:uid="{00000000-0004-0000-0200-000007000000}"/>
    <hyperlink ref="K10" r:id="rId9" location="/food-search?query=Split+Peas+%28Green%29" xr:uid="{00000000-0004-0000-0200-000008000000}"/>
    <hyperlink ref="K11" r:id="rId10" location="/food-search?query=Black-eyed+Peas" xr:uid="{00000000-0004-0000-0200-000009000000}"/>
    <hyperlink ref="K12" r:id="rId11" location="/food-search?query=Fava+Beans" xr:uid="{00000000-0004-0000-0200-00000A000000}"/>
    <hyperlink ref="K13" r:id="rId12" location="/food-search?query=Adzuki+Beans" xr:uid="{00000000-0004-0000-0200-00000B000000}"/>
    <hyperlink ref="K14" r:id="rId13" location="/food-search?query=Mung+Beans" xr:uid="{00000000-0004-0000-0200-00000C000000}"/>
    <hyperlink ref="K15" r:id="rId14" location="/food-search?query=Soybeans+%28Edamame%29" xr:uid="{00000000-0004-0000-0200-00000D000000}"/>
    <hyperlink ref="K16" r:id="rId15" location="/food-search?query=Urad+Dal+%28Black+Gram%29" xr:uid="{00000000-0004-0000-0200-00000E000000}"/>
    <hyperlink ref="K17" r:id="rId16" location="/food-search?query=Toor+Dal+%28Pigeon+Peas%29" xr:uid="{00000000-0004-0000-0200-00000F000000}"/>
    <hyperlink ref="K18" r:id="rId17" location="/food-search?query=Moong+Dal+%28Split+Mung%29" xr:uid="{00000000-0004-0000-0200-000010000000}"/>
    <hyperlink ref="K19" r:id="rId18" location="/food-search?query=Masoor+Dal+%28Split+Red%29" xr:uid="{00000000-0004-0000-0200-000011000000}"/>
    <hyperlink ref="K20" r:id="rId19" location="/food-search?query=Rajma+%28Kidney%2C+Indian%29" xr:uid="{00000000-0004-0000-0200-000012000000}"/>
    <hyperlink ref="K21" r:id="rId20" location="/food-search?query=Navy+Beans" xr:uid="{00000000-0004-0000-0200-000013000000}"/>
    <hyperlink ref="K22" r:id="rId21" location="/food-search?query=Lima+Beans" xr:uid="{00000000-0004-0000-0200-000014000000}"/>
    <hyperlink ref="K23" r:id="rId22" location="/food-search?query=Great+Northern+Beans" xr:uid="{00000000-0004-0000-0200-000015000000}"/>
    <hyperlink ref="K24" r:id="rId23" location="/food-search?query=Chana+Dal+%28Split+Chickpeas%29" xr:uid="{00000000-0004-0000-0200-000016000000}"/>
    <hyperlink ref="K25" r:id="rId24" location="/food-search?query=Tempeh+%28Soy%29" xr:uid="{00000000-0004-0000-0200-000017000000}"/>
    <hyperlink ref="K26" r:id="rId25" location="/food-search?query=Tofu+%28Soy%29" xr:uid="{00000000-0004-0000-0200-000018000000}"/>
    <hyperlink ref="K27" r:id="rId26" location="/food-search?query=Bambara+Groundnut" xr:uid="{00000000-0004-0000-0200-000019000000}"/>
    <hyperlink ref="K28" r:id="rId27" location="/food-search?query=Tepary+Bean" xr:uid="{00000000-0004-0000-0200-00001A000000}"/>
    <hyperlink ref="K29" r:id="rId28" location="/food-search?query=Lupin+Bean" xr:uid="{00000000-0004-0000-0200-00001B000000}"/>
    <hyperlink ref="K30" r:id="rId29" location="/food-search?query=Cranberry+%28Borlotti%29+Bean" xr:uid="{00000000-0004-0000-0200-00001C000000}"/>
    <hyperlink ref="K31" r:id="rId30" location="/food-search?query=Yellow+Split+Peas" xr:uid="{00000000-0004-0000-0200-00001D000000}"/>
    <hyperlink ref="K32" r:id="rId31" location="/food-search?query=Horse+Gram" xr:uid="{00000000-0004-0000-0200-00001E000000}"/>
    <hyperlink ref="K33" r:id="rId32" location="/food-search?query=Moth+Beans" xr:uid="{00000000-0004-0000-0200-00001F000000}"/>
    <hyperlink ref="K34" r:id="rId33" location="/food-search?query=Winged+Bean" xr:uid="{00000000-0004-0000-0200-000020000000}"/>
    <hyperlink ref="K35" r:id="rId34" location="/food-search?query=Scarlet+Runner+Bean" xr:uid="{00000000-0004-0000-0200-000021000000}"/>
    <hyperlink ref="K36" r:id="rId35" location="/food-search?query=Yellow+Eye+Bean" xr:uid="{00000000-0004-0000-0200-000022000000}"/>
    <hyperlink ref="N2" r:id="rId36" xr:uid="{D3DB9253-0476-4ABC-ADFA-B5D8CBD07159}"/>
    <hyperlink ref="N3" r:id="rId37" xr:uid="{C944615C-9297-4C70-A1DC-C7CEE7558F93}"/>
    <hyperlink ref="N4" r:id="rId38" xr:uid="{B120083F-45E9-4D41-B008-775C950A2981}"/>
    <hyperlink ref="N5" r:id="rId39" xr:uid="{DA73237D-5A43-4B23-9854-095A5A318E4C}"/>
    <hyperlink ref="N6" r:id="rId40" xr:uid="{8E693DF0-F532-4B5D-BC76-36F6046865DB}"/>
    <hyperlink ref="N7" r:id="rId41" xr:uid="{9D51C5A5-79AC-4EA0-8827-702D91388254}"/>
    <hyperlink ref="N8" r:id="rId42" xr:uid="{144C4406-AA1B-44B8-83F2-DDE9358E0EB0}"/>
    <hyperlink ref="N9" r:id="rId43" xr:uid="{C5FC4C46-A477-4D91-B80E-58B5E74F401C}"/>
    <hyperlink ref="N10" r:id="rId44" xr:uid="{C378A562-9DFB-4899-9BC6-7A013C275027}"/>
    <hyperlink ref="N11" r:id="rId45" xr:uid="{FA20A1A0-0850-44C0-A555-DF12AB545A96}"/>
    <hyperlink ref="N12" r:id="rId46" xr:uid="{F6354B4C-7AB0-4699-B287-639B3677EAFB}"/>
    <hyperlink ref="N13" r:id="rId47" xr:uid="{C593C3CE-8348-4F47-9F16-8800DECF0E9C}"/>
    <hyperlink ref="N14" r:id="rId48" xr:uid="{49991A78-C18E-41D9-BE8B-BD6AD177BF4F}"/>
    <hyperlink ref="N15" r:id="rId49" xr:uid="{F2294873-4B9F-406C-8EDA-46216612ACD3}"/>
    <hyperlink ref="N16" r:id="rId50" xr:uid="{2443E234-56AB-4B32-ADE0-99185015B013}"/>
    <hyperlink ref="N17" r:id="rId51" xr:uid="{CEDBBC6A-C486-4366-88A1-4D6A63C05B2E}"/>
    <hyperlink ref="N18" r:id="rId52" xr:uid="{CCD51B76-FF9E-485B-B6E2-C66C6E10C876}"/>
    <hyperlink ref="N19" r:id="rId53" xr:uid="{C3079920-2E7D-4E2B-88D5-EE8111FA65C6}"/>
    <hyperlink ref="N20" r:id="rId54" xr:uid="{C7BCE58F-26E7-4E80-BDCD-68E5E49C3A47}"/>
    <hyperlink ref="N21" r:id="rId55" xr:uid="{DCE0BA86-A97F-426F-911F-AE52218955BD}"/>
    <hyperlink ref="N22" r:id="rId56" xr:uid="{4E8417ED-0567-47BB-B927-8389452DDEA8}"/>
    <hyperlink ref="N23" r:id="rId57" xr:uid="{BADF7DBA-7568-4B2D-B3F2-0B2CEA32A099}"/>
    <hyperlink ref="N24" r:id="rId58" xr:uid="{81FE55CA-E1BF-4162-A800-C586A1C3A5C4}"/>
    <hyperlink ref="N25" r:id="rId59" xr:uid="{F2A69848-D156-46BA-9F5B-4F9BC619806E}"/>
    <hyperlink ref="N26" r:id="rId60" xr:uid="{224FBEC9-6D64-4078-A380-8B65FCFC25C1}"/>
    <hyperlink ref="N27" r:id="rId61" xr:uid="{6C5388AA-362D-4F71-BE57-8CE9DDF4AAA0}"/>
    <hyperlink ref="N28" r:id="rId62" xr:uid="{CF3F43FC-4D77-4470-9EF5-FF7FD5FCEB40}"/>
    <hyperlink ref="N29" r:id="rId63" xr:uid="{88932DAD-E9E8-45E7-81ED-3C699D65B4E6}"/>
    <hyperlink ref="N30" r:id="rId64" xr:uid="{856CDAED-43A0-4C77-AF44-62E86A425C66}"/>
    <hyperlink ref="N31" r:id="rId65" xr:uid="{EF8C2BC7-742D-42DD-9753-94E160993A23}"/>
    <hyperlink ref="N32" r:id="rId66" xr:uid="{8F214BF6-A489-459B-B167-823FC84A3A81}"/>
    <hyperlink ref="N33" r:id="rId67" xr:uid="{F542E614-1E17-44DD-A1D6-6629E2E248AE}"/>
    <hyperlink ref="N34" r:id="rId68" xr:uid="{174A3285-D4B6-4FE6-9B72-9A9DEF1E2F8C}"/>
    <hyperlink ref="N35" r:id="rId69" xr:uid="{AD30F766-9299-4833-9819-AA1CAB8BD4DC}"/>
    <hyperlink ref="N36" r:id="rId70" xr:uid="{36C25FA8-62BF-4B01-8A82-357F1F3004D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D1A3"/>
  </sheetPr>
  <dimension ref="A1:O37"/>
  <sheetViews>
    <sheetView topLeftCell="J1" workbookViewId="0">
      <selection activeCell="N1" sqref="A1:N1"/>
    </sheetView>
  </sheetViews>
  <sheetFormatPr defaultRowHeight="14.4" x14ac:dyDescent="0.3"/>
  <cols>
    <col min="1" max="1" width="13.109375" bestFit="1" customWidth="1"/>
    <col min="2" max="2" width="10.5546875" bestFit="1" customWidth="1"/>
    <col min="3" max="3" width="21.6640625" bestFit="1" customWidth="1"/>
    <col min="4" max="4" width="17.77734375" bestFit="1" customWidth="1"/>
    <col min="5" max="5" width="13.21875" bestFit="1" customWidth="1"/>
    <col min="6" max="6" width="14.5546875" bestFit="1" customWidth="1"/>
    <col min="7" max="7" width="11.109375" bestFit="1" customWidth="1"/>
    <col min="8" max="8" width="12.5546875" bestFit="1" customWidth="1"/>
    <col min="9" max="9" width="26.44140625" bestFit="1" customWidth="1"/>
    <col min="10" max="10" width="22.77734375" bestFit="1" customWidth="1"/>
    <col min="11" max="11" width="12.88671875" bestFit="1" customWidth="1"/>
    <col min="12" max="12" width="21.6640625" style="4" bestFit="1" customWidth="1"/>
    <col min="13" max="13" width="30.44140625" style="4" bestFit="1" customWidth="1"/>
    <col min="14" max="14" width="20.21875" style="4" bestFit="1" customWidth="1"/>
    <col min="15" max="15" width="8.88671875" style="4"/>
  </cols>
  <sheetData>
    <row r="1" spans="1:14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322</v>
      </c>
      <c r="M1" s="13" t="s">
        <v>323</v>
      </c>
      <c r="N1" s="12" t="s">
        <v>10</v>
      </c>
    </row>
    <row r="2" spans="1:14" ht="15.6" x14ac:dyDescent="0.3">
      <c r="A2" t="s">
        <v>203</v>
      </c>
      <c r="B2" t="s">
        <v>204</v>
      </c>
      <c r="C2" t="s">
        <v>17</v>
      </c>
      <c r="D2" t="s">
        <v>205</v>
      </c>
      <c r="E2">
        <v>0</v>
      </c>
      <c r="F2">
        <v>31</v>
      </c>
      <c r="G2">
        <v>3.6</v>
      </c>
      <c r="H2">
        <v>0</v>
      </c>
      <c r="I2">
        <f t="shared" ref="I2:I37" si="0">ROUND(4*E2+4*F2+9*G2,0)</f>
        <v>156</v>
      </c>
      <c r="J2">
        <v>165</v>
      </c>
      <c r="K2" s="1" t="s">
        <v>15</v>
      </c>
      <c r="L2" s="4" t="s">
        <v>514</v>
      </c>
      <c r="M2" s="4" t="s">
        <v>515</v>
      </c>
      <c r="N2" s="5" t="s">
        <v>397</v>
      </c>
    </row>
    <row r="3" spans="1:14" ht="15.6" x14ac:dyDescent="0.3">
      <c r="A3" t="s">
        <v>206</v>
      </c>
      <c r="B3" t="s">
        <v>204</v>
      </c>
      <c r="C3" t="s">
        <v>17</v>
      </c>
      <c r="D3" t="s">
        <v>168</v>
      </c>
      <c r="E3">
        <v>0</v>
      </c>
      <c r="F3">
        <v>26</v>
      </c>
      <c r="G3">
        <v>9</v>
      </c>
      <c r="H3">
        <v>0</v>
      </c>
      <c r="I3">
        <f t="shared" si="0"/>
        <v>185</v>
      </c>
      <c r="J3">
        <v>209</v>
      </c>
      <c r="K3" s="1" t="s">
        <v>15</v>
      </c>
      <c r="L3" s="4" t="s">
        <v>516</v>
      </c>
      <c r="M3" s="4" t="s">
        <v>517</v>
      </c>
      <c r="N3" s="5" t="s">
        <v>397</v>
      </c>
    </row>
    <row r="4" spans="1:14" ht="15.6" x14ac:dyDescent="0.3">
      <c r="A4" t="s">
        <v>207</v>
      </c>
      <c r="B4" t="s">
        <v>204</v>
      </c>
      <c r="C4" t="s">
        <v>17</v>
      </c>
      <c r="D4" t="s">
        <v>205</v>
      </c>
      <c r="E4">
        <v>0</v>
      </c>
      <c r="F4">
        <v>29</v>
      </c>
      <c r="G4">
        <v>4</v>
      </c>
      <c r="H4">
        <v>0</v>
      </c>
      <c r="I4">
        <f t="shared" si="0"/>
        <v>152</v>
      </c>
      <c r="J4">
        <v>189</v>
      </c>
      <c r="K4" s="1" t="s">
        <v>15</v>
      </c>
      <c r="L4" s="4" t="s">
        <v>518</v>
      </c>
      <c r="M4" s="4" t="s">
        <v>519</v>
      </c>
      <c r="N4" s="5" t="s">
        <v>397</v>
      </c>
    </row>
    <row r="5" spans="1:14" ht="15.6" x14ac:dyDescent="0.3">
      <c r="A5" t="s">
        <v>208</v>
      </c>
      <c r="B5" t="s">
        <v>204</v>
      </c>
      <c r="C5" t="s">
        <v>17</v>
      </c>
      <c r="D5" t="s">
        <v>168</v>
      </c>
      <c r="E5">
        <v>0</v>
      </c>
      <c r="F5">
        <v>26</v>
      </c>
      <c r="G5">
        <v>15</v>
      </c>
      <c r="H5">
        <v>0</v>
      </c>
      <c r="I5">
        <f t="shared" si="0"/>
        <v>239</v>
      </c>
      <c r="J5">
        <v>250</v>
      </c>
      <c r="K5" s="1" t="s">
        <v>15</v>
      </c>
      <c r="L5" s="4" t="s">
        <v>520</v>
      </c>
      <c r="M5" s="4" t="s">
        <v>521</v>
      </c>
      <c r="N5" s="5" t="s">
        <v>397</v>
      </c>
    </row>
    <row r="6" spans="1:14" ht="15.6" x14ac:dyDescent="0.3">
      <c r="A6" t="s">
        <v>209</v>
      </c>
      <c r="B6" t="s">
        <v>204</v>
      </c>
      <c r="C6" t="s">
        <v>17</v>
      </c>
      <c r="E6">
        <v>0</v>
      </c>
      <c r="F6">
        <v>25</v>
      </c>
      <c r="G6">
        <v>17</v>
      </c>
      <c r="H6">
        <v>0</v>
      </c>
      <c r="I6">
        <f t="shared" si="0"/>
        <v>253</v>
      </c>
      <c r="J6">
        <v>254</v>
      </c>
      <c r="K6" s="1" t="s">
        <v>15</v>
      </c>
      <c r="L6" s="4" t="s">
        <v>522</v>
      </c>
      <c r="M6" s="4" t="s">
        <v>523</v>
      </c>
      <c r="N6" s="5" t="s">
        <v>397</v>
      </c>
    </row>
    <row r="7" spans="1:14" ht="15.6" x14ac:dyDescent="0.3">
      <c r="A7" t="s">
        <v>210</v>
      </c>
      <c r="B7" t="s">
        <v>204</v>
      </c>
      <c r="C7" t="s">
        <v>17</v>
      </c>
      <c r="D7" t="s">
        <v>205</v>
      </c>
      <c r="E7">
        <v>0</v>
      </c>
      <c r="F7">
        <v>26</v>
      </c>
      <c r="G7">
        <v>10</v>
      </c>
      <c r="H7">
        <v>0</v>
      </c>
      <c r="I7">
        <f t="shared" si="0"/>
        <v>194</v>
      </c>
      <c r="J7">
        <v>231</v>
      </c>
      <c r="K7" s="1" t="s">
        <v>15</v>
      </c>
      <c r="L7" s="4" t="s">
        <v>524</v>
      </c>
      <c r="M7" s="4" t="s">
        <v>525</v>
      </c>
      <c r="N7" s="5" t="s">
        <v>397</v>
      </c>
    </row>
    <row r="8" spans="1:14" ht="15.6" x14ac:dyDescent="0.3">
      <c r="A8" t="s">
        <v>211</v>
      </c>
      <c r="B8" t="s">
        <v>204</v>
      </c>
      <c r="C8" t="s">
        <v>17</v>
      </c>
      <c r="D8" t="s">
        <v>212</v>
      </c>
      <c r="E8">
        <v>1.4</v>
      </c>
      <c r="F8">
        <v>37</v>
      </c>
      <c r="G8">
        <v>42</v>
      </c>
      <c r="H8">
        <v>0</v>
      </c>
      <c r="I8">
        <f t="shared" si="0"/>
        <v>532</v>
      </c>
      <c r="J8">
        <v>541</v>
      </c>
      <c r="K8" s="1" t="s">
        <v>15</v>
      </c>
      <c r="L8" s="4" t="s">
        <v>526</v>
      </c>
      <c r="M8" s="4" t="s">
        <v>527</v>
      </c>
      <c r="N8" s="5" t="s">
        <v>528</v>
      </c>
    </row>
    <row r="9" spans="1:14" ht="15.6" x14ac:dyDescent="0.3">
      <c r="A9" t="s">
        <v>213</v>
      </c>
      <c r="B9" t="s">
        <v>204</v>
      </c>
      <c r="C9" t="s">
        <v>17</v>
      </c>
      <c r="D9" t="s">
        <v>214</v>
      </c>
      <c r="E9">
        <v>1.5</v>
      </c>
      <c r="F9">
        <v>18</v>
      </c>
      <c r="G9">
        <v>7</v>
      </c>
      <c r="H9">
        <v>0</v>
      </c>
      <c r="I9">
        <f t="shared" si="0"/>
        <v>141</v>
      </c>
      <c r="J9">
        <v>145</v>
      </c>
      <c r="K9" s="1" t="s">
        <v>15</v>
      </c>
      <c r="L9" s="4" t="s">
        <v>529</v>
      </c>
      <c r="M9" s="4" t="s">
        <v>530</v>
      </c>
      <c r="N9" s="5" t="s">
        <v>528</v>
      </c>
    </row>
    <row r="10" spans="1:14" ht="15.6" x14ac:dyDescent="0.3">
      <c r="A10" t="s">
        <v>215</v>
      </c>
      <c r="B10" t="s">
        <v>204</v>
      </c>
      <c r="C10" t="s">
        <v>216</v>
      </c>
      <c r="D10" t="s">
        <v>212</v>
      </c>
      <c r="E10">
        <v>2</v>
      </c>
      <c r="F10">
        <v>12</v>
      </c>
      <c r="G10">
        <v>26</v>
      </c>
      <c r="H10">
        <v>0</v>
      </c>
      <c r="I10">
        <f t="shared" si="0"/>
        <v>290</v>
      </c>
      <c r="J10">
        <v>301</v>
      </c>
      <c r="K10" s="1" t="s">
        <v>15</v>
      </c>
      <c r="L10" s="4" t="s">
        <v>531</v>
      </c>
      <c r="M10" s="4" t="s">
        <v>532</v>
      </c>
      <c r="N10" s="5" t="s">
        <v>528</v>
      </c>
    </row>
    <row r="11" spans="1:14" ht="15.6" x14ac:dyDescent="0.3">
      <c r="A11" t="s">
        <v>217</v>
      </c>
      <c r="B11" t="s">
        <v>204</v>
      </c>
      <c r="C11" t="s">
        <v>48</v>
      </c>
      <c r="D11" t="s">
        <v>168</v>
      </c>
      <c r="E11">
        <v>0</v>
      </c>
      <c r="F11">
        <v>26</v>
      </c>
      <c r="G11">
        <v>16.5</v>
      </c>
      <c r="H11">
        <v>0</v>
      </c>
      <c r="I11">
        <f t="shared" si="0"/>
        <v>253</v>
      </c>
      <c r="J11">
        <v>294</v>
      </c>
      <c r="K11" s="1" t="s">
        <v>15</v>
      </c>
      <c r="L11" s="4" t="s">
        <v>533</v>
      </c>
      <c r="M11" s="4" t="s">
        <v>534</v>
      </c>
      <c r="N11" s="5" t="s">
        <v>397</v>
      </c>
    </row>
    <row r="12" spans="1:14" ht="15.6" x14ac:dyDescent="0.3">
      <c r="A12" t="s">
        <v>218</v>
      </c>
      <c r="B12" t="s">
        <v>204</v>
      </c>
      <c r="C12" t="s">
        <v>31</v>
      </c>
      <c r="D12" t="s">
        <v>168</v>
      </c>
      <c r="E12">
        <v>0</v>
      </c>
      <c r="F12">
        <v>27</v>
      </c>
      <c r="G12">
        <v>3</v>
      </c>
      <c r="H12">
        <v>0</v>
      </c>
      <c r="I12">
        <f t="shared" si="0"/>
        <v>135</v>
      </c>
      <c r="J12">
        <v>143</v>
      </c>
      <c r="K12" s="1" t="s">
        <v>15</v>
      </c>
      <c r="L12" s="4" t="s">
        <v>535</v>
      </c>
      <c r="M12" s="4" t="s">
        <v>536</v>
      </c>
      <c r="N12" s="5" t="s">
        <v>397</v>
      </c>
    </row>
    <row r="13" spans="1:14" ht="15.6" x14ac:dyDescent="0.3">
      <c r="A13" t="s">
        <v>219</v>
      </c>
      <c r="B13" t="s">
        <v>204</v>
      </c>
      <c r="C13" t="s">
        <v>55</v>
      </c>
      <c r="D13" t="s">
        <v>212</v>
      </c>
      <c r="E13">
        <v>0</v>
      </c>
      <c r="F13">
        <v>19</v>
      </c>
      <c r="G13">
        <v>28</v>
      </c>
      <c r="H13">
        <v>0</v>
      </c>
      <c r="I13">
        <f t="shared" si="0"/>
        <v>328</v>
      </c>
      <c r="J13">
        <v>337</v>
      </c>
      <c r="K13" s="1" t="s">
        <v>15</v>
      </c>
      <c r="L13" s="4" t="s">
        <v>537</v>
      </c>
      <c r="M13" s="4" t="s">
        <v>538</v>
      </c>
      <c r="N13" s="5" t="s">
        <v>397</v>
      </c>
    </row>
    <row r="14" spans="1:14" ht="15.6" x14ac:dyDescent="0.3">
      <c r="A14" t="s">
        <v>220</v>
      </c>
      <c r="B14" t="s">
        <v>204</v>
      </c>
      <c r="C14" t="s">
        <v>65</v>
      </c>
      <c r="D14" t="s">
        <v>221</v>
      </c>
      <c r="E14">
        <v>0</v>
      </c>
      <c r="F14">
        <v>25</v>
      </c>
      <c r="G14">
        <v>13</v>
      </c>
      <c r="H14">
        <v>0</v>
      </c>
      <c r="I14">
        <f t="shared" si="0"/>
        <v>217</v>
      </c>
      <c r="J14">
        <v>208</v>
      </c>
      <c r="K14" s="1" t="s">
        <v>15</v>
      </c>
      <c r="L14" s="4" t="s">
        <v>539</v>
      </c>
      <c r="M14" s="4" t="s">
        <v>540</v>
      </c>
      <c r="N14" s="5" t="s">
        <v>397</v>
      </c>
    </row>
    <row r="15" spans="1:14" ht="15.6" x14ac:dyDescent="0.3">
      <c r="A15" t="s">
        <v>222</v>
      </c>
      <c r="B15" t="s">
        <v>204</v>
      </c>
      <c r="C15" t="s">
        <v>65</v>
      </c>
      <c r="D15" t="s">
        <v>223</v>
      </c>
      <c r="E15">
        <v>0</v>
      </c>
      <c r="F15">
        <v>29</v>
      </c>
      <c r="G15">
        <v>4</v>
      </c>
      <c r="H15">
        <v>0</v>
      </c>
      <c r="I15">
        <f t="shared" si="0"/>
        <v>152</v>
      </c>
      <c r="J15">
        <v>184</v>
      </c>
      <c r="K15" s="1" t="s">
        <v>15</v>
      </c>
      <c r="L15" s="4" t="s">
        <v>541</v>
      </c>
      <c r="M15" s="4" t="s">
        <v>542</v>
      </c>
      <c r="N15" s="5" t="s">
        <v>397</v>
      </c>
    </row>
    <row r="16" spans="1:14" ht="15.6" x14ac:dyDescent="0.3">
      <c r="A16" t="s">
        <v>224</v>
      </c>
      <c r="B16" t="s">
        <v>204</v>
      </c>
      <c r="C16" t="s">
        <v>225</v>
      </c>
      <c r="D16" t="s">
        <v>226</v>
      </c>
      <c r="E16">
        <v>0.2</v>
      </c>
      <c r="F16">
        <v>24</v>
      </c>
      <c r="G16">
        <v>0.3</v>
      </c>
      <c r="H16">
        <v>0</v>
      </c>
      <c r="I16">
        <f t="shared" si="0"/>
        <v>100</v>
      </c>
      <c r="J16">
        <v>99</v>
      </c>
      <c r="K16" s="1" t="s">
        <v>15</v>
      </c>
      <c r="L16" s="4" t="s">
        <v>543</v>
      </c>
      <c r="M16" s="4" t="s">
        <v>544</v>
      </c>
      <c r="N16" s="5" t="s">
        <v>397</v>
      </c>
    </row>
    <row r="17" spans="1:14" ht="15.6" x14ac:dyDescent="0.3">
      <c r="A17" t="s">
        <v>227</v>
      </c>
      <c r="B17" t="s">
        <v>204</v>
      </c>
      <c r="C17" t="s">
        <v>17</v>
      </c>
      <c r="D17" t="s">
        <v>228</v>
      </c>
      <c r="E17">
        <v>0</v>
      </c>
      <c r="F17">
        <v>18.100000000000001</v>
      </c>
      <c r="G17">
        <v>1</v>
      </c>
      <c r="H17">
        <v>0</v>
      </c>
      <c r="I17">
        <f t="shared" si="0"/>
        <v>81</v>
      </c>
      <c r="J17">
        <v>87</v>
      </c>
      <c r="K17" s="1" t="s">
        <v>15</v>
      </c>
      <c r="L17" s="4" t="s">
        <v>545</v>
      </c>
      <c r="M17" s="4" t="s">
        <v>546</v>
      </c>
      <c r="N17" s="5" t="s">
        <v>397</v>
      </c>
    </row>
    <row r="18" spans="1:14" ht="15.6" x14ac:dyDescent="0.3">
      <c r="A18" t="s">
        <v>229</v>
      </c>
      <c r="B18" t="s">
        <v>204</v>
      </c>
      <c r="C18" t="s">
        <v>17</v>
      </c>
      <c r="D18" t="s">
        <v>230</v>
      </c>
      <c r="E18">
        <v>1.3</v>
      </c>
      <c r="F18">
        <v>19</v>
      </c>
      <c r="G18">
        <v>0.9</v>
      </c>
      <c r="H18">
        <v>0</v>
      </c>
      <c r="I18">
        <f t="shared" si="0"/>
        <v>89</v>
      </c>
      <c r="J18">
        <v>89</v>
      </c>
      <c r="K18" s="1" t="s">
        <v>15</v>
      </c>
      <c r="L18" s="4" t="s">
        <v>547</v>
      </c>
      <c r="M18" s="4" t="s">
        <v>548</v>
      </c>
      <c r="N18" s="5" t="s">
        <v>397</v>
      </c>
    </row>
    <row r="19" spans="1:14" ht="15.6" x14ac:dyDescent="0.3">
      <c r="A19" t="s">
        <v>231</v>
      </c>
      <c r="B19" t="s">
        <v>204</v>
      </c>
      <c r="C19" t="s">
        <v>112</v>
      </c>
      <c r="D19" t="s">
        <v>232</v>
      </c>
      <c r="E19">
        <v>0</v>
      </c>
      <c r="F19">
        <v>18</v>
      </c>
      <c r="G19">
        <v>0.7</v>
      </c>
      <c r="H19">
        <v>0</v>
      </c>
      <c r="I19">
        <f t="shared" si="0"/>
        <v>78</v>
      </c>
      <c r="J19">
        <v>82</v>
      </c>
      <c r="K19" s="1" t="s">
        <v>15</v>
      </c>
      <c r="L19" s="4" t="s">
        <v>549</v>
      </c>
      <c r="M19" s="4" t="s">
        <v>550</v>
      </c>
      <c r="N19" s="5" t="s">
        <v>397</v>
      </c>
    </row>
    <row r="20" spans="1:14" ht="15.6" x14ac:dyDescent="0.3">
      <c r="A20" t="s">
        <v>233</v>
      </c>
      <c r="B20" t="s">
        <v>204</v>
      </c>
      <c r="C20" t="s">
        <v>17</v>
      </c>
      <c r="D20" t="s">
        <v>205</v>
      </c>
      <c r="E20">
        <v>0</v>
      </c>
      <c r="F20">
        <v>26</v>
      </c>
      <c r="G20">
        <v>2.7</v>
      </c>
      <c r="H20">
        <v>0</v>
      </c>
      <c r="I20">
        <f t="shared" si="0"/>
        <v>128</v>
      </c>
      <c r="J20">
        <v>129</v>
      </c>
      <c r="K20" s="1" t="s">
        <v>15</v>
      </c>
      <c r="L20" s="4" t="s">
        <v>551</v>
      </c>
      <c r="M20" s="4" t="s">
        <v>552</v>
      </c>
      <c r="N20" s="5" t="s">
        <v>397</v>
      </c>
    </row>
    <row r="21" spans="1:14" ht="15.6" x14ac:dyDescent="0.3">
      <c r="A21" t="s">
        <v>234</v>
      </c>
      <c r="B21" t="s">
        <v>204</v>
      </c>
      <c r="C21" t="s">
        <v>112</v>
      </c>
      <c r="D21" t="s">
        <v>223</v>
      </c>
      <c r="E21">
        <v>0</v>
      </c>
      <c r="F21">
        <v>26</v>
      </c>
      <c r="G21">
        <v>7</v>
      </c>
      <c r="H21">
        <v>0</v>
      </c>
      <c r="I21">
        <f t="shared" si="0"/>
        <v>167</v>
      </c>
      <c r="J21">
        <v>190</v>
      </c>
      <c r="K21" s="1" t="s">
        <v>15</v>
      </c>
      <c r="L21" s="4" t="s">
        <v>553</v>
      </c>
      <c r="M21" s="4" t="s">
        <v>554</v>
      </c>
      <c r="N21" s="5" t="s">
        <v>397</v>
      </c>
    </row>
    <row r="22" spans="1:14" ht="15.6" x14ac:dyDescent="0.3">
      <c r="A22" t="s">
        <v>235</v>
      </c>
      <c r="B22" t="s">
        <v>204</v>
      </c>
      <c r="C22" t="s">
        <v>48</v>
      </c>
      <c r="D22" t="s">
        <v>236</v>
      </c>
      <c r="E22">
        <v>0</v>
      </c>
      <c r="F22">
        <v>25</v>
      </c>
      <c r="G22">
        <v>11</v>
      </c>
      <c r="H22">
        <v>0</v>
      </c>
      <c r="I22">
        <f t="shared" si="0"/>
        <v>199</v>
      </c>
      <c r="J22">
        <v>208</v>
      </c>
      <c r="K22" s="1" t="s">
        <v>15</v>
      </c>
      <c r="L22" s="4" t="s">
        <v>555</v>
      </c>
      <c r="M22" s="4" t="s">
        <v>556</v>
      </c>
      <c r="N22" s="5" t="s">
        <v>397</v>
      </c>
    </row>
    <row r="23" spans="1:14" ht="15.6" x14ac:dyDescent="0.3">
      <c r="A23" t="s">
        <v>237</v>
      </c>
      <c r="B23" t="s">
        <v>204</v>
      </c>
      <c r="C23" t="s">
        <v>65</v>
      </c>
      <c r="D23" t="s">
        <v>238</v>
      </c>
      <c r="E23">
        <v>0</v>
      </c>
      <c r="F23">
        <v>19</v>
      </c>
      <c r="G23">
        <v>13.9</v>
      </c>
      <c r="H23">
        <v>0</v>
      </c>
      <c r="I23">
        <f t="shared" si="0"/>
        <v>201</v>
      </c>
      <c r="J23">
        <v>205</v>
      </c>
      <c r="K23" s="1" t="s">
        <v>15</v>
      </c>
      <c r="L23" s="4" t="s">
        <v>557</v>
      </c>
      <c r="M23" s="4" t="s">
        <v>558</v>
      </c>
      <c r="N23" s="5" t="s">
        <v>397</v>
      </c>
    </row>
    <row r="24" spans="1:14" ht="15.6" x14ac:dyDescent="0.3">
      <c r="A24" t="s">
        <v>239</v>
      </c>
      <c r="B24" t="s">
        <v>204</v>
      </c>
      <c r="C24" t="s">
        <v>101</v>
      </c>
      <c r="D24" t="s">
        <v>240</v>
      </c>
      <c r="E24">
        <v>0</v>
      </c>
      <c r="F24">
        <v>29</v>
      </c>
      <c r="G24">
        <v>4</v>
      </c>
      <c r="H24">
        <v>0</v>
      </c>
      <c r="I24">
        <f t="shared" si="0"/>
        <v>152</v>
      </c>
      <c r="J24">
        <v>210</v>
      </c>
      <c r="K24" s="1" t="s">
        <v>15</v>
      </c>
      <c r="L24" s="4" t="s">
        <v>559</v>
      </c>
      <c r="M24" s="4" t="s">
        <v>560</v>
      </c>
      <c r="N24" s="5" t="s">
        <v>397</v>
      </c>
    </row>
    <row r="25" spans="1:14" ht="15.6" x14ac:dyDescent="0.3">
      <c r="A25" t="s">
        <v>241</v>
      </c>
      <c r="B25" t="s">
        <v>204</v>
      </c>
      <c r="C25" t="s">
        <v>17</v>
      </c>
      <c r="D25" t="s">
        <v>232</v>
      </c>
      <c r="E25">
        <v>3.2</v>
      </c>
      <c r="F25">
        <v>24</v>
      </c>
      <c r="G25">
        <v>0.8</v>
      </c>
      <c r="H25">
        <v>0</v>
      </c>
      <c r="I25">
        <f t="shared" si="0"/>
        <v>116</v>
      </c>
      <c r="J25">
        <v>137</v>
      </c>
      <c r="K25" s="1" t="s">
        <v>15</v>
      </c>
      <c r="L25" s="4" t="s">
        <v>561</v>
      </c>
      <c r="M25" s="4" t="s">
        <v>562</v>
      </c>
      <c r="N25" s="5" t="s">
        <v>397</v>
      </c>
    </row>
    <row r="26" spans="1:14" ht="15.6" x14ac:dyDescent="0.3">
      <c r="A26" t="s">
        <v>242</v>
      </c>
      <c r="B26" t="s">
        <v>204</v>
      </c>
      <c r="C26" t="s">
        <v>13</v>
      </c>
      <c r="D26" t="s">
        <v>168</v>
      </c>
      <c r="E26">
        <v>3.7</v>
      </c>
      <c r="F26">
        <v>24</v>
      </c>
      <c r="G26">
        <v>3.6</v>
      </c>
      <c r="H26">
        <v>0</v>
      </c>
      <c r="I26">
        <f t="shared" si="0"/>
        <v>143</v>
      </c>
      <c r="J26">
        <v>172</v>
      </c>
      <c r="K26" s="1" t="s">
        <v>15</v>
      </c>
      <c r="L26" s="4" t="s">
        <v>563</v>
      </c>
      <c r="M26" s="4" t="s">
        <v>564</v>
      </c>
      <c r="N26" s="5" t="s">
        <v>397</v>
      </c>
    </row>
    <row r="27" spans="1:14" ht="15.6" x14ac:dyDescent="0.3">
      <c r="A27" t="s">
        <v>243</v>
      </c>
      <c r="B27" t="s">
        <v>204</v>
      </c>
      <c r="C27" t="s">
        <v>244</v>
      </c>
      <c r="D27" t="s">
        <v>168</v>
      </c>
      <c r="E27">
        <v>0</v>
      </c>
      <c r="F27">
        <v>25</v>
      </c>
      <c r="G27">
        <v>7</v>
      </c>
      <c r="H27">
        <v>0</v>
      </c>
      <c r="I27">
        <f t="shared" si="0"/>
        <v>163</v>
      </c>
      <c r="J27">
        <v>187</v>
      </c>
      <c r="K27" s="1" t="s">
        <v>15</v>
      </c>
      <c r="L27" s="4" t="s">
        <v>565</v>
      </c>
      <c r="M27" s="4" t="s">
        <v>566</v>
      </c>
      <c r="N27" s="5" t="s">
        <v>397</v>
      </c>
    </row>
    <row r="28" spans="1:14" ht="15.6" x14ac:dyDescent="0.3">
      <c r="A28" t="s">
        <v>245</v>
      </c>
      <c r="B28" t="s">
        <v>204</v>
      </c>
      <c r="C28" t="s">
        <v>112</v>
      </c>
      <c r="D28" t="s">
        <v>168</v>
      </c>
      <c r="E28">
        <v>0</v>
      </c>
      <c r="F28">
        <v>29</v>
      </c>
      <c r="G28">
        <v>8</v>
      </c>
      <c r="H28">
        <v>0</v>
      </c>
      <c r="I28">
        <f t="shared" si="0"/>
        <v>188</v>
      </c>
      <c r="J28">
        <v>206</v>
      </c>
      <c r="K28" s="1" t="s">
        <v>15</v>
      </c>
      <c r="L28" s="4" t="s">
        <v>567</v>
      </c>
      <c r="M28" s="4" t="s">
        <v>568</v>
      </c>
      <c r="N28" s="5" t="s">
        <v>397</v>
      </c>
    </row>
    <row r="29" spans="1:14" ht="15.6" x14ac:dyDescent="0.3">
      <c r="A29" t="s">
        <v>246</v>
      </c>
      <c r="B29" t="s">
        <v>204</v>
      </c>
      <c r="C29" t="s">
        <v>13</v>
      </c>
      <c r="D29" t="s">
        <v>168</v>
      </c>
      <c r="E29">
        <v>0</v>
      </c>
      <c r="F29">
        <v>30</v>
      </c>
      <c r="G29">
        <v>3.2</v>
      </c>
      <c r="H29">
        <v>0</v>
      </c>
      <c r="I29">
        <f t="shared" si="0"/>
        <v>149</v>
      </c>
      <c r="J29">
        <v>158</v>
      </c>
      <c r="K29" s="1" t="s">
        <v>15</v>
      </c>
      <c r="L29" s="4" t="s">
        <v>533</v>
      </c>
      <c r="M29" s="4" t="s">
        <v>569</v>
      </c>
      <c r="N29" s="5" t="s">
        <v>397</v>
      </c>
    </row>
    <row r="30" spans="1:14" ht="15.6" x14ac:dyDescent="0.3">
      <c r="A30" t="s">
        <v>247</v>
      </c>
      <c r="B30" t="s">
        <v>204</v>
      </c>
      <c r="C30" t="s">
        <v>17</v>
      </c>
      <c r="D30" t="s">
        <v>168</v>
      </c>
      <c r="E30">
        <v>0</v>
      </c>
      <c r="F30">
        <v>28</v>
      </c>
      <c r="G30">
        <v>7</v>
      </c>
      <c r="H30">
        <v>0</v>
      </c>
      <c r="I30">
        <f t="shared" si="0"/>
        <v>175</v>
      </c>
      <c r="J30">
        <v>179</v>
      </c>
      <c r="K30" s="1" t="s">
        <v>15</v>
      </c>
      <c r="L30" s="4" t="s">
        <v>570</v>
      </c>
      <c r="M30" s="4" t="s">
        <v>571</v>
      </c>
      <c r="N30" s="5" t="s">
        <v>397</v>
      </c>
    </row>
    <row r="31" spans="1:14" ht="15.6" x14ac:dyDescent="0.3">
      <c r="A31" t="s">
        <v>248</v>
      </c>
      <c r="B31" t="s">
        <v>204</v>
      </c>
      <c r="C31" t="s">
        <v>112</v>
      </c>
      <c r="D31" t="s">
        <v>168</v>
      </c>
      <c r="E31">
        <v>0</v>
      </c>
      <c r="F31">
        <v>26</v>
      </c>
      <c r="G31">
        <v>7</v>
      </c>
      <c r="H31">
        <v>0</v>
      </c>
      <c r="I31">
        <f t="shared" si="0"/>
        <v>167</v>
      </c>
      <c r="J31">
        <v>181</v>
      </c>
      <c r="K31" s="1" t="s">
        <v>15</v>
      </c>
      <c r="L31" s="4" t="s">
        <v>572</v>
      </c>
      <c r="M31" s="4" t="s">
        <v>573</v>
      </c>
      <c r="N31" s="5" t="s">
        <v>397</v>
      </c>
    </row>
    <row r="32" spans="1:14" ht="15.6" x14ac:dyDescent="0.3">
      <c r="A32" t="s">
        <v>249</v>
      </c>
      <c r="B32" t="s">
        <v>204</v>
      </c>
      <c r="C32" t="s">
        <v>250</v>
      </c>
      <c r="D32" t="s">
        <v>212</v>
      </c>
      <c r="E32">
        <v>0</v>
      </c>
      <c r="F32">
        <v>24.3</v>
      </c>
      <c r="G32">
        <v>33.6</v>
      </c>
      <c r="H32">
        <v>0</v>
      </c>
      <c r="I32">
        <f t="shared" si="0"/>
        <v>400</v>
      </c>
      <c r="J32">
        <v>371</v>
      </c>
      <c r="K32" s="1" t="s">
        <v>15</v>
      </c>
      <c r="L32" s="4" t="s">
        <v>574</v>
      </c>
      <c r="M32" s="4" t="s">
        <v>575</v>
      </c>
      <c r="N32" s="5" t="s">
        <v>397</v>
      </c>
    </row>
    <row r="33" spans="1:14" ht="15.6" x14ac:dyDescent="0.3">
      <c r="A33" t="s">
        <v>251</v>
      </c>
      <c r="B33" t="s">
        <v>204</v>
      </c>
      <c r="C33" t="s">
        <v>55</v>
      </c>
      <c r="D33" t="s">
        <v>212</v>
      </c>
      <c r="E33">
        <v>0</v>
      </c>
      <c r="F33">
        <v>9.3000000000000007</v>
      </c>
      <c r="G33">
        <v>53</v>
      </c>
      <c r="H33">
        <v>0</v>
      </c>
      <c r="I33">
        <f t="shared" si="0"/>
        <v>514</v>
      </c>
      <c r="J33">
        <v>518</v>
      </c>
      <c r="K33" s="1" t="s">
        <v>15</v>
      </c>
      <c r="L33" s="4" t="s">
        <v>576</v>
      </c>
      <c r="M33" s="4" t="s">
        <v>577</v>
      </c>
      <c r="N33" s="5" t="s">
        <v>528</v>
      </c>
    </row>
    <row r="34" spans="1:14" ht="15.6" x14ac:dyDescent="0.3">
      <c r="A34" t="s">
        <v>252</v>
      </c>
      <c r="B34" t="s">
        <v>204</v>
      </c>
      <c r="C34" t="s">
        <v>101</v>
      </c>
      <c r="D34" t="s">
        <v>214</v>
      </c>
      <c r="E34">
        <v>0.3</v>
      </c>
      <c r="F34">
        <v>26</v>
      </c>
      <c r="G34">
        <v>12</v>
      </c>
      <c r="H34">
        <v>0</v>
      </c>
      <c r="I34">
        <f t="shared" si="0"/>
        <v>213</v>
      </c>
      <c r="J34">
        <v>241</v>
      </c>
      <c r="K34" s="1" t="s">
        <v>15</v>
      </c>
      <c r="L34" s="4" t="s">
        <v>578</v>
      </c>
      <c r="M34" s="4" t="s">
        <v>579</v>
      </c>
      <c r="N34" s="5" t="s">
        <v>528</v>
      </c>
    </row>
    <row r="35" spans="1:14" ht="15.6" x14ac:dyDescent="0.3">
      <c r="A35" t="s">
        <v>253</v>
      </c>
      <c r="B35" t="s">
        <v>204</v>
      </c>
      <c r="C35" t="s">
        <v>101</v>
      </c>
      <c r="D35" t="s">
        <v>212</v>
      </c>
      <c r="E35">
        <v>1.5</v>
      </c>
      <c r="F35">
        <v>22</v>
      </c>
      <c r="G35">
        <v>26</v>
      </c>
      <c r="H35">
        <v>0</v>
      </c>
      <c r="I35">
        <f t="shared" si="0"/>
        <v>328</v>
      </c>
      <c r="J35">
        <v>336</v>
      </c>
      <c r="K35" s="1" t="s">
        <v>15</v>
      </c>
      <c r="L35" s="4" t="s">
        <v>580</v>
      </c>
      <c r="M35" s="4" t="s">
        <v>581</v>
      </c>
      <c r="N35" s="5" t="s">
        <v>528</v>
      </c>
    </row>
    <row r="36" spans="1:14" ht="15.6" x14ac:dyDescent="0.3">
      <c r="A36" t="s">
        <v>254</v>
      </c>
      <c r="B36" t="s">
        <v>204</v>
      </c>
      <c r="C36" t="s">
        <v>255</v>
      </c>
      <c r="D36" t="s">
        <v>168</v>
      </c>
      <c r="E36">
        <v>2.2000000000000002</v>
      </c>
      <c r="F36">
        <v>29</v>
      </c>
      <c r="G36">
        <v>2</v>
      </c>
      <c r="H36">
        <v>0</v>
      </c>
      <c r="I36">
        <f t="shared" si="0"/>
        <v>143</v>
      </c>
      <c r="J36">
        <v>164</v>
      </c>
      <c r="K36" s="1" t="s">
        <v>15</v>
      </c>
      <c r="L36" s="4" t="s">
        <v>582</v>
      </c>
      <c r="M36" s="4" t="s">
        <v>583</v>
      </c>
      <c r="N36" s="5" t="s">
        <v>397</v>
      </c>
    </row>
    <row r="37" spans="1:14" ht="15.6" x14ac:dyDescent="0.3">
      <c r="A37" t="s">
        <v>256</v>
      </c>
      <c r="B37" t="s">
        <v>204</v>
      </c>
      <c r="C37" t="s">
        <v>257</v>
      </c>
      <c r="D37" t="s">
        <v>238</v>
      </c>
      <c r="E37">
        <v>0</v>
      </c>
      <c r="F37">
        <v>18</v>
      </c>
      <c r="G37">
        <v>9</v>
      </c>
      <c r="H37">
        <v>0</v>
      </c>
      <c r="I37">
        <f t="shared" si="0"/>
        <v>153</v>
      </c>
      <c r="J37">
        <v>158</v>
      </c>
      <c r="K37" s="1" t="s">
        <v>15</v>
      </c>
      <c r="L37" s="4" t="s">
        <v>584</v>
      </c>
      <c r="M37" s="4" t="s">
        <v>585</v>
      </c>
      <c r="N37" s="5" t="s">
        <v>397</v>
      </c>
    </row>
  </sheetData>
  <hyperlinks>
    <hyperlink ref="K2" r:id="rId1" location="/food-search?query=Chicken+Breast" xr:uid="{00000000-0004-0000-0400-000000000000}"/>
    <hyperlink ref="K3" r:id="rId2" location="/food-search?query=Chicken+Thigh" xr:uid="{00000000-0004-0000-0400-000001000000}"/>
    <hyperlink ref="K4" r:id="rId3" location="/food-search?query=Turkey" xr:uid="{00000000-0004-0000-0400-000002000000}"/>
    <hyperlink ref="K5" r:id="rId4" location="/food-search?query=Beef+Steak" xr:uid="{00000000-0004-0000-0400-000003000000}"/>
    <hyperlink ref="K6" r:id="rId5" location="/food-search?query=Ground+Beef" xr:uid="{00000000-0004-0000-0400-000004000000}"/>
    <hyperlink ref="K7" r:id="rId6" location="/food-search?query=Pork+Chop" xr:uid="{00000000-0004-0000-0400-000005000000}"/>
    <hyperlink ref="K8" r:id="rId7" location="/food-search?query=Bacon" xr:uid="{00000000-0004-0000-0400-000006000000}"/>
    <hyperlink ref="K9" r:id="rId8" location="/food-search?query=Ham" xr:uid="{00000000-0004-0000-0400-000007000000}"/>
    <hyperlink ref="K10" r:id="rId9" location="/food-search?query=Sausage" xr:uid="{00000000-0004-0000-0400-000008000000}"/>
    <hyperlink ref="K11" r:id="rId10" location="/food-search?query=Lamb" xr:uid="{00000000-0004-0000-0400-000009000000}"/>
    <hyperlink ref="K12" r:id="rId11" location="/food-search?query=Goat" xr:uid="{00000000-0004-0000-0400-00000A000000}"/>
    <hyperlink ref="K13" r:id="rId12" location="/food-search?query=Duck" xr:uid="{00000000-0004-0000-0400-00000B000000}"/>
    <hyperlink ref="K14" r:id="rId13" location="/food-search?query=Salmon" xr:uid="{00000000-0004-0000-0400-00000C000000}"/>
    <hyperlink ref="K15" r:id="rId14" location="/food-search?query=Tuna" xr:uid="{00000000-0004-0000-0400-00000D000000}"/>
    <hyperlink ref="K16" r:id="rId15" location="/food-search?query=Shrimp" xr:uid="{00000000-0004-0000-0400-00000E000000}"/>
    <hyperlink ref="K17" r:id="rId16" location="/food-search?query=Crab" xr:uid="{00000000-0004-0000-0400-00000F000000}"/>
    <hyperlink ref="K18" r:id="rId17" location="/food-search?query=Lobster" xr:uid="{00000000-0004-0000-0400-000010000000}"/>
    <hyperlink ref="K19" r:id="rId18" location="/food-search?query=Cod" xr:uid="{00000000-0004-0000-0400-000011000000}"/>
    <hyperlink ref="K20" r:id="rId19" location="/food-search?query=Tilapia" xr:uid="{00000000-0004-0000-0400-000012000000}"/>
    <hyperlink ref="K21" r:id="rId20" location="/food-search?query=Trout" xr:uid="{00000000-0004-0000-0400-000013000000}"/>
    <hyperlink ref="K22" r:id="rId21" location="/food-search?query=Sardines" xr:uid="{00000000-0004-0000-0400-000014000000}"/>
    <hyperlink ref="K23" r:id="rId22" location="/food-search?query=Mackerel" xr:uid="{00000000-0004-0000-0400-000015000000}"/>
    <hyperlink ref="K24" r:id="rId23" location="/food-search?query=Anchovies" xr:uid="{00000000-0004-0000-0400-000016000000}"/>
    <hyperlink ref="K25" r:id="rId24" location="/food-search?query=Scallops" xr:uid="{00000000-0004-0000-0400-000017000000}"/>
    <hyperlink ref="K26" r:id="rId25" location="/food-search?query=Mussels" xr:uid="{00000000-0004-0000-0400-000018000000}"/>
    <hyperlink ref="K27" r:id="rId26" location="/food-search?query=Quail" xr:uid="{00000000-0004-0000-0400-000019000000}"/>
    <hyperlink ref="K28" r:id="rId27" location="/food-search?query=Rabbit" xr:uid="{00000000-0004-0000-0400-00001A000000}"/>
    <hyperlink ref="K29" r:id="rId28" location="/food-search?query=Venison" xr:uid="{00000000-0004-0000-0400-00001B000000}"/>
    <hyperlink ref="K30" r:id="rId29" location="/food-search?query=Bison" xr:uid="{00000000-0004-0000-0400-00001C000000}"/>
    <hyperlink ref="K31" r:id="rId30" location="/food-search?query=Pheasant" xr:uid="{00000000-0004-0000-0400-00001D000000}"/>
    <hyperlink ref="K32" r:id="rId31" location="/food-search?query=Goose" xr:uid="{00000000-0004-0000-0400-00001E000000}"/>
    <hyperlink ref="K33" r:id="rId32" location="/food-search?query=Pork+Belly" xr:uid="{00000000-0004-0000-0400-00001F000000}"/>
    <hyperlink ref="K34" r:id="rId33" location="/food-search?query=Prosciutto" xr:uid="{00000000-0004-0000-0400-000020000000}"/>
    <hyperlink ref="K35" r:id="rId34" location="/food-search?query=Salami" xr:uid="{00000000-0004-0000-0400-000021000000}"/>
    <hyperlink ref="K36" r:id="rId35" location="/food-search?query=Octopus" xr:uid="{00000000-0004-0000-0400-000022000000}"/>
    <hyperlink ref="K37" r:id="rId36" location="/food-search?query=Herring" xr:uid="{00000000-0004-0000-0400-000023000000}"/>
    <hyperlink ref="N2" r:id="rId37" xr:uid="{FFB9ABB0-B1CA-4A11-9AEC-ABCE32043366}"/>
    <hyperlink ref="N3" r:id="rId38" xr:uid="{D8C217B2-ACC7-48E1-AA0E-1129530DB333}"/>
    <hyperlink ref="N4" r:id="rId39" xr:uid="{1FE3E07B-A150-4331-905C-8258F033CF5D}"/>
    <hyperlink ref="N5" r:id="rId40" xr:uid="{7EA5C77B-FD40-46A6-9F08-3D61EA8C031B}"/>
    <hyperlink ref="N6" r:id="rId41" xr:uid="{7952A17F-0A84-403B-935B-CBE0D304F389}"/>
    <hyperlink ref="N7" r:id="rId42" xr:uid="{432D278D-44A7-4803-B1BE-C0F6C857D773}"/>
    <hyperlink ref="N8" r:id="rId43" xr:uid="{2CD02867-1431-46CE-93DB-D2E441BDF630}"/>
    <hyperlink ref="N9" r:id="rId44" xr:uid="{6542AE11-8D26-4059-B700-F5E56A25BF3E}"/>
    <hyperlink ref="N10" r:id="rId45" xr:uid="{8BE71748-26DE-4519-9D53-39B6436D5785}"/>
    <hyperlink ref="N11" r:id="rId46" xr:uid="{00156BF7-FE8F-4A6C-B4C4-E6747D7494A8}"/>
    <hyperlink ref="N12" r:id="rId47" xr:uid="{52AD8D86-39C9-4F98-856C-A1011F2649E6}"/>
    <hyperlink ref="N13" r:id="rId48" xr:uid="{306059D0-6B4D-42A6-8209-CE8F13E762BD}"/>
    <hyperlink ref="N14" r:id="rId49" xr:uid="{AC34B188-6B42-4A13-BFEE-039770868A02}"/>
    <hyperlink ref="N15" r:id="rId50" xr:uid="{25D111CE-5E6F-4369-A95D-6A5BDC28F57C}"/>
    <hyperlink ref="N16" r:id="rId51" xr:uid="{6E9E9355-837D-474F-8AB4-936458F4D801}"/>
    <hyperlink ref="N17" r:id="rId52" xr:uid="{4DECC121-6250-4949-B7E4-EA2AD0A9F4D6}"/>
    <hyperlink ref="N18" r:id="rId53" xr:uid="{2E3B9860-8EFB-430B-BD65-E46CA0B7D205}"/>
    <hyperlink ref="N19" r:id="rId54" xr:uid="{E62F1A85-2907-4DED-A2F8-B1C31D471E32}"/>
    <hyperlink ref="N20" r:id="rId55" xr:uid="{C8C0F1DC-31C1-4D99-AA45-6718732C9565}"/>
    <hyperlink ref="N21" r:id="rId56" xr:uid="{17CBAD79-9EBC-4B9F-B119-B8D3F0E5C707}"/>
    <hyperlink ref="N22" r:id="rId57" xr:uid="{93CEE8A2-52DE-48C7-B79B-B77D8E4287F2}"/>
    <hyperlink ref="N23" r:id="rId58" xr:uid="{92749904-B04B-4135-96AB-091BF4A10C02}"/>
    <hyperlink ref="N24" r:id="rId59" xr:uid="{8AAB0CDE-37ED-48E1-BC86-4C154330D63D}"/>
    <hyperlink ref="N25" r:id="rId60" xr:uid="{72E4B58D-0CC6-45DC-9E51-EA50BCCDCC56}"/>
    <hyperlink ref="N26" r:id="rId61" xr:uid="{67567B94-0F12-4E5D-8457-4491921793F5}"/>
    <hyperlink ref="N27" r:id="rId62" xr:uid="{976459FE-EB98-4143-8FB2-CBF1F13CF744}"/>
    <hyperlink ref="N28" r:id="rId63" xr:uid="{280C752C-D33A-4036-8640-25CE8D1283ED}"/>
    <hyperlink ref="N29" r:id="rId64" xr:uid="{434E17A7-F817-4CE2-BCB9-035C244D3B0C}"/>
    <hyperlink ref="N30" r:id="rId65" xr:uid="{6D264C68-6C2D-4072-B6E4-B82FE9E0A800}"/>
    <hyperlink ref="N31" r:id="rId66" xr:uid="{336D99E2-426A-4C8D-AA31-E963FE753B6B}"/>
    <hyperlink ref="N32" r:id="rId67" xr:uid="{FAC652AC-2286-4C46-98BB-726AB760FEAA}"/>
    <hyperlink ref="N33" r:id="rId68" xr:uid="{B54ACC90-32C3-4CD2-A467-311E466182E1}"/>
    <hyperlink ref="N34" r:id="rId69" xr:uid="{835BF6E6-2E7C-4270-A3AC-37A87F966214}"/>
    <hyperlink ref="N35" r:id="rId70" xr:uid="{DAA11D6F-0440-4A6D-9311-BAECB89E9961}"/>
    <hyperlink ref="N36" r:id="rId71" xr:uid="{EA80393E-375F-42DA-846B-D0099B32051F}"/>
    <hyperlink ref="N37" r:id="rId72" xr:uid="{FC41E1AE-7C56-4069-ACE2-D883F22551E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2B2"/>
  </sheetPr>
  <dimension ref="A1:N36"/>
  <sheetViews>
    <sheetView workbookViewId="0">
      <selection activeCell="I2" sqref="I2"/>
    </sheetView>
  </sheetViews>
  <sheetFormatPr defaultRowHeight="14.4" x14ac:dyDescent="0.3"/>
  <cols>
    <col min="1" max="1" width="21.44140625" bestFit="1" customWidth="1"/>
    <col min="2" max="2" width="11.44140625" bestFit="1" customWidth="1"/>
    <col min="3" max="3" width="23.88671875" bestFit="1" customWidth="1"/>
    <col min="4" max="4" width="27.21875" bestFit="1" customWidth="1"/>
    <col min="5" max="5" width="13.21875" bestFit="1" customWidth="1"/>
    <col min="6" max="6" width="14.5546875" bestFit="1" customWidth="1"/>
    <col min="7" max="7" width="11.109375" bestFit="1" customWidth="1"/>
    <col min="8" max="8" width="12.5546875" bestFit="1" customWidth="1"/>
    <col min="9" max="9" width="26.44140625" bestFit="1" customWidth="1"/>
    <col min="10" max="10" width="22.77734375" bestFit="1" customWidth="1"/>
    <col min="11" max="11" width="12.88671875" bestFit="1" customWidth="1"/>
    <col min="12" max="12" width="30" style="4" bestFit="1" customWidth="1"/>
    <col min="13" max="13" width="41.88671875" style="4" bestFit="1" customWidth="1"/>
    <col min="14" max="14" width="17.5546875" style="4" bestFit="1" customWidth="1"/>
  </cols>
  <sheetData>
    <row r="1" spans="1:14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322</v>
      </c>
      <c r="M1" s="13" t="s">
        <v>323</v>
      </c>
      <c r="N1" s="12" t="s">
        <v>10</v>
      </c>
    </row>
    <row r="2" spans="1:14" ht="15.6" x14ac:dyDescent="0.3">
      <c r="A2" t="s">
        <v>258</v>
      </c>
      <c r="B2" t="s">
        <v>259</v>
      </c>
      <c r="C2" t="s">
        <v>129</v>
      </c>
      <c r="D2" t="s">
        <v>260</v>
      </c>
      <c r="E2">
        <v>28</v>
      </c>
      <c r="F2">
        <v>2.7</v>
      </c>
      <c r="G2">
        <v>0.3</v>
      </c>
      <c r="H2">
        <v>0.4</v>
      </c>
      <c r="I2">
        <f t="shared" ref="I2:I36" si="0">ROUND(4*E2+4*F2+9*G2,0)</f>
        <v>126</v>
      </c>
      <c r="J2">
        <v>130</v>
      </c>
      <c r="K2" s="1" t="s">
        <v>15</v>
      </c>
      <c r="L2" s="4" t="s">
        <v>586</v>
      </c>
      <c r="M2" s="4" t="s">
        <v>587</v>
      </c>
      <c r="N2" s="5" t="s">
        <v>397</v>
      </c>
    </row>
    <row r="3" spans="1:14" ht="15.6" x14ac:dyDescent="0.3">
      <c r="A3" t="s">
        <v>261</v>
      </c>
      <c r="B3" t="s">
        <v>259</v>
      </c>
      <c r="C3" t="s">
        <v>28</v>
      </c>
      <c r="D3" t="s">
        <v>262</v>
      </c>
      <c r="E3">
        <v>23</v>
      </c>
      <c r="F3">
        <v>2.6</v>
      </c>
      <c r="G3">
        <v>0.9</v>
      </c>
      <c r="H3">
        <v>1.8</v>
      </c>
      <c r="I3">
        <f t="shared" si="0"/>
        <v>111</v>
      </c>
      <c r="J3">
        <v>111</v>
      </c>
      <c r="K3" s="1" t="s">
        <v>15</v>
      </c>
      <c r="L3" s="4" t="s">
        <v>588</v>
      </c>
      <c r="M3" s="4" t="s">
        <v>589</v>
      </c>
      <c r="N3" s="5" t="s">
        <v>397</v>
      </c>
    </row>
    <row r="4" spans="1:14" ht="15.6" x14ac:dyDescent="0.3">
      <c r="A4" t="s">
        <v>263</v>
      </c>
      <c r="B4" t="s">
        <v>259</v>
      </c>
      <c r="C4" t="s">
        <v>31</v>
      </c>
      <c r="D4" t="s">
        <v>260</v>
      </c>
      <c r="E4">
        <v>25</v>
      </c>
      <c r="F4">
        <v>2.9</v>
      </c>
      <c r="G4">
        <v>0.5</v>
      </c>
      <c r="H4">
        <v>0.4</v>
      </c>
      <c r="I4">
        <f t="shared" si="0"/>
        <v>116</v>
      </c>
      <c r="J4">
        <v>121</v>
      </c>
      <c r="K4" s="1" t="s">
        <v>15</v>
      </c>
      <c r="L4" s="4" t="s">
        <v>590</v>
      </c>
      <c r="M4" s="4" t="s">
        <v>591</v>
      </c>
      <c r="N4" s="5" t="s">
        <v>397</v>
      </c>
    </row>
    <row r="5" spans="1:14" ht="15.6" x14ac:dyDescent="0.3">
      <c r="A5" t="s">
        <v>264</v>
      </c>
      <c r="B5" t="s">
        <v>259</v>
      </c>
      <c r="C5" t="s">
        <v>76</v>
      </c>
      <c r="D5" t="s">
        <v>260</v>
      </c>
      <c r="E5">
        <v>26</v>
      </c>
      <c r="F5">
        <v>2.9</v>
      </c>
      <c r="G5">
        <v>0.4</v>
      </c>
      <c r="H5">
        <v>0.4</v>
      </c>
      <c r="I5">
        <f t="shared" si="0"/>
        <v>119</v>
      </c>
      <c r="J5">
        <v>129</v>
      </c>
      <c r="K5" s="1" t="s">
        <v>15</v>
      </c>
      <c r="L5" s="4" t="s">
        <v>592</v>
      </c>
      <c r="M5" s="4" t="s">
        <v>591</v>
      </c>
      <c r="N5" s="5" t="s">
        <v>397</v>
      </c>
    </row>
    <row r="6" spans="1:14" ht="15.6" x14ac:dyDescent="0.3">
      <c r="A6" t="s">
        <v>265</v>
      </c>
      <c r="B6" t="s">
        <v>259</v>
      </c>
      <c r="C6" t="s">
        <v>101</v>
      </c>
      <c r="D6" t="s">
        <v>260</v>
      </c>
      <c r="E6">
        <v>28.2</v>
      </c>
      <c r="F6">
        <v>2.4</v>
      </c>
      <c r="G6">
        <v>0.2</v>
      </c>
      <c r="H6">
        <v>0.9</v>
      </c>
      <c r="I6">
        <f t="shared" si="0"/>
        <v>124</v>
      </c>
      <c r="J6">
        <v>130</v>
      </c>
      <c r="K6" s="1" t="s">
        <v>15</v>
      </c>
      <c r="L6" s="4" t="s">
        <v>593</v>
      </c>
      <c r="M6" s="4" t="s">
        <v>594</v>
      </c>
      <c r="N6" s="5" t="s">
        <v>397</v>
      </c>
    </row>
    <row r="7" spans="1:14" ht="15.6" x14ac:dyDescent="0.3">
      <c r="A7" t="s">
        <v>266</v>
      </c>
      <c r="B7" t="s">
        <v>259</v>
      </c>
      <c r="C7" t="s">
        <v>101</v>
      </c>
      <c r="D7" t="s">
        <v>267</v>
      </c>
      <c r="E7">
        <v>25</v>
      </c>
      <c r="F7">
        <v>5</v>
      </c>
      <c r="G7">
        <v>1.1000000000000001</v>
      </c>
      <c r="H7">
        <v>1.4</v>
      </c>
      <c r="I7">
        <f t="shared" si="0"/>
        <v>130</v>
      </c>
      <c r="J7">
        <v>158</v>
      </c>
      <c r="K7" s="1" t="s">
        <v>15</v>
      </c>
      <c r="L7" s="4" t="s">
        <v>595</v>
      </c>
      <c r="M7" s="4" t="s">
        <v>596</v>
      </c>
      <c r="N7" s="5" t="s">
        <v>397</v>
      </c>
    </row>
    <row r="8" spans="1:14" ht="15.6" x14ac:dyDescent="0.3">
      <c r="A8" t="s">
        <v>268</v>
      </c>
      <c r="B8" t="s">
        <v>259</v>
      </c>
      <c r="C8" t="s">
        <v>101</v>
      </c>
      <c r="D8" t="s">
        <v>267</v>
      </c>
      <c r="E8">
        <v>25</v>
      </c>
      <c r="F8">
        <v>5</v>
      </c>
      <c r="G8">
        <v>1.1000000000000001</v>
      </c>
      <c r="H8">
        <v>1.4</v>
      </c>
      <c r="I8">
        <f t="shared" si="0"/>
        <v>130</v>
      </c>
      <c r="J8">
        <v>158</v>
      </c>
      <c r="K8" s="1" t="s">
        <v>15</v>
      </c>
      <c r="L8" s="4" t="s">
        <v>597</v>
      </c>
      <c r="M8" s="4" t="s">
        <v>598</v>
      </c>
      <c r="N8" s="5" t="s">
        <v>397</v>
      </c>
    </row>
    <row r="9" spans="1:14" ht="15.6" x14ac:dyDescent="0.3">
      <c r="A9" t="s">
        <v>269</v>
      </c>
      <c r="B9" t="s">
        <v>259</v>
      </c>
      <c r="C9" t="s">
        <v>270</v>
      </c>
      <c r="D9" t="s">
        <v>267</v>
      </c>
      <c r="E9">
        <v>25</v>
      </c>
      <c r="F9">
        <v>5</v>
      </c>
      <c r="G9">
        <v>1.1000000000000001</v>
      </c>
      <c r="H9">
        <v>1.4</v>
      </c>
      <c r="I9">
        <f t="shared" si="0"/>
        <v>130</v>
      </c>
      <c r="J9">
        <v>158</v>
      </c>
      <c r="K9" s="1" t="s">
        <v>15</v>
      </c>
      <c r="L9" s="4" t="s">
        <v>597</v>
      </c>
      <c r="M9" s="4" t="s">
        <v>598</v>
      </c>
      <c r="N9" s="5" t="s">
        <v>397</v>
      </c>
    </row>
    <row r="10" spans="1:14" ht="15.6" x14ac:dyDescent="0.3">
      <c r="A10" t="s">
        <v>271</v>
      </c>
      <c r="B10" t="s">
        <v>259</v>
      </c>
      <c r="C10" t="s">
        <v>101</v>
      </c>
      <c r="D10" t="s">
        <v>267</v>
      </c>
      <c r="E10">
        <v>20</v>
      </c>
      <c r="F10">
        <v>4.5</v>
      </c>
      <c r="G10">
        <v>1.2</v>
      </c>
      <c r="H10">
        <v>1.4</v>
      </c>
      <c r="I10">
        <f t="shared" si="0"/>
        <v>109</v>
      </c>
      <c r="J10">
        <v>135</v>
      </c>
      <c r="K10" s="1" t="s">
        <v>15</v>
      </c>
      <c r="L10" s="4" t="s">
        <v>599</v>
      </c>
      <c r="M10" s="4" t="s">
        <v>600</v>
      </c>
      <c r="N10" s="5" t="s">
        <v>397</v>
      </c>
    </row>
    <row r="11" spans="1:14" ht="15.6" x14ac:dyDescent="0.3">
      <c r="A11" t="s">
        <v>272</v>
      </c>
      <c r="B11" t="s">
        <v>259</v>
      </c>
      <c r="C11" t="s">
        <v>17</v>
      </c>
      <c r="D11" t="s">
        <v>267</v>
      </c>
      <c r="E11">
        <v>49</v>
      </c>
      <c r="F11">
        <v>9</v>
      </c>
      <c r="G11">
        <v>3.2</v>
      </c>
      <c r="H11">
        <v>2.7</v>
      </c>
      <c r="I11">
        <f t="shared" si="0"/>
        <v>261</v>
      </c>
      <c r="J11">
        <v>265</v>
      </c>
      <c r="K11" s="1" t="s">
        <v>15</v>
      </c>
      <c r="L11" s="4" t="s">
        <v>601</v>
      </c>
      <c r="M11" s="4" t="s">
        <v>602</v>
      </c>
      <c r="N11" s="5" t="s">
        <v>438</v>
      </c>
    </row>
    <row r="12" spans="1:14" ht="15.6" x14ac:dyDescent="0.3">
      <c r="A12" t="s">
        <v>273</v>
      </c>
      <c r="B12" t="s">
        <v>259</v>
      </c>
      <c r="C12" t="s">
        <v>17</v>
      </c>
      <c r="D12" t="s">
        <v>262</v>
      </c>
      <c r="E12">
        <v>41</v>
      </c>
      <c r="F12">
        <v>13</v>
      </c>
      <c r="G12">
        <v>4.2</v>
      </c>
      <c r="H12">
        <v>7</v>
      </c>
      <c r="I12">
        <f t="shared" si="0"/>
        <v>254</v>
      </c>
      <c r="J12">
        <v>247</v>
      </c>
      <c r="K12" s="1" t="s">
        <v>15</v>
      </c>
      <c r="L12" s="4" t="s">
        <v>603</v>
      </c>
      <c r="M12" s="4" t="s">
        <v>604</v>
      </c>
      <c r="N12" s="5" t="s">
        <v>438</v>
      </c>
    </row>
    <row r="13" spans="1:14" ht="15.6" x14ac:dyDescent="0.3">
      <c r="A13" t="s">
        <v>274</v>
      </c>
      <c r="B13" t="s">
        <v>259</v>
      </c>
      <c r="C13" t="s">
        <v>112</v>
      </c>
      <c r="D13" t="s">
        <v>260</v>
      </c>
      <c r="E13">
        <v>49</v>
      </c>
      <c r="F13">
        <v>9</v>
      </c>
      <c r="G13">
        <v>2.5</v>
      </c>
      <c r="H13">
        <v>2.8</v>
      </c>
      <c r="I13">
        <f t="shared" si="0"/>
        <v>255</v>
      </c>
      <c r="J13">
        <v>238</v>
      </c>
      <c r="K13" s="1" t="s">
        <v>15</v>
      </c>
      <c r="L13" s="4" t="s">
        <v>605</v>
      </c>
      <c r="M13" s="4" t="s">
        <v>606</v>
      </c>
      <c r="N13" s="5" t="s">
        <v>438</v>
      </c>
    </row>
    <row r="14" spans="1:14" ht="15.6" x14ac:dyDescent="0.3">
      <c r="A14" t="s">
        <v>275</v>
      </c>
      <c r="B14" t="s">
        <v>259</v>
      </c>
      <c r="C14" t="s">
        <v>112</v>
      </c>
      <c r="D14" t="s">
        <v>262</v>
      </c>
      <c r="E14">
        <v>48</v>
      </c>
      <c r="F14">
        <v>8.5</v>
      </c>
      <c r="G14">
        <v>3.3</v>
      </c>
      <c r="H14">
        <v>5.8</v>
      </c>
      <c r="I14">
        <f t="shared" si="0"/>
        <v>256</v>
      </c>
      <c r="J14">
        <v>259</v>
      </c>
      <c r="K14" s="1" t="s">
        <v>15</v>
      </c>
      <c r="L14" s="4" t="s">
        <v>607</v>
      </c>
      <c r="M14" s="4" t="s">
        <v>608</v>
      </c>
      <c r="N14" s="5" t="s">
        <v>438</v>
      </c>
    </row>
    <row r="15" spans="1:14" ht="15.6" x14ac:dyDescent="0.3">
      <c r="A15" t="s">
        <v>276</v>
      </c>
      <c r="B15" t="s">
        <v>259</v>
      </c>
      <c r="C15" t="s">
        <v>31</v>
      </c>
      <c r="D15" t="s">
        <v>277</v>
      </c>
      <c r="E15">
        <v>54</v>
      </c>
      <c r="F15">
        <v>9</v>
      </c>
      <c r="G15">
        <v>7</v>
      </c>
      <c r="H15">
        <v>2.4</v>
      </c>
      <c r="I15">
        <f t="shared" si="0"/>
        <v>315</v>
      </c>
      <c r="J15">
        <v>310</v>
      </c>
      <c r="K15" s="1" t="s">
        <v>15</v>
      </c>
      <c r="L15" s="4" t="s">
        <v>609</v>
      </c>
      <c r="M15" s="4" t="s">
        <v>610</v>
      </c>
      <c r="N15" s="5" t="s">
        <v>438</v>
      </c>
    </row>
    <row r="16" spans="1:14" ht="15.6" x14ac:dyDescent="0.3">
      <c r="A16" t="s">
        <v>278</v>
      </c>
      <c r="B16" t="s">
        <v>259</v>
      </c>
      <c r="C16" t="s">
        <v>131</v>
      </c>
      <c r="D16" t="s">
        <v>262</v>
      </c>
      <c r="E16">
        <v>45</v>
      </c>
      <c r="F16">
        <v>6</v>
      </c>
      <c r="G16">
        <v>2.5</v>
      </c>
      <c r="H16">
        <v>6</v>
      </c>
      <c r="I16">
        <f t="shared" si="0"/>
        <v>227</v>
      </c>
      <c r="J16">
        <v>237</v>
      </c>
      <c r="K16" s="1" t="s">
        <v>15</v>
      </c>
      <c r="L16" s="4" t="s">
        <v>611</v>
      </c>
      <c r="M16" s="4" t="s">
        <v>612</v>
      </c>
      <c r="N16" s="5" t="s">
        <v>438</v>
      </c>
    </row>
    <row r="17" spans="1:14" ht="15.6" x14ac:dyDescent="0.3">
      <c r="A17" t="s">
        <v>279</v>
      </c>
      <c r="B17" t="s">
        <v>259</v>
      </c>
      <c r="C17" t="s">
        <v>57</v>
      </c>
      <c r="D17" t="s">
        <v>260</v>
      </c>
      <c r="E17">
        <v>49</v>
      </c>
      <c r="F17">
        <v>8.6999999999999993</v>
      </c>
      <c r="G17">
        <v>4.9000000000000004</v>
      </c>
      <c r="H17">
        <v>3</v>
      </c>
      <c r="I17">
        <f t="shared" si="0"/>
        <v>275</v>
      </c>
      <c r="J17">
        <v>297</v>
      </c>
      <c r="K17" s="1" t="s">
        <v>15</v>
      </c>
      <c r="L17" s="4" t="s">
        <v>613</v>
      </c>
      <c r="M17" s="4" t="s">
        <v>614</v>
      </c>
      <c r="N17" s="5" t="s">
        <v>438</v>
      </c>
    </row>
    <row r="18" spans="1:14" ht="15.6" x14ac:dyDescent="0.3">
      <c r="A18" t="s">
        <v>280</v>
      </c>
      <c r="B18" t="s">
        <v>259</v>
      </c>
      <c r="C18" t="s">
        <v>281</v>
      </c>
      <c r="D18" t="s">
        <v>260</v>
      </c>
      <c r="E18">
        <v>56</v>
      </c>
      <c r="F18">
        <v>9.8000000000000007</v>
      </c>
      <c r="G18">
        <v>1.2</v>
      </c>
      <c r="H18">
        <v>2.2000000000000002</v>
      </c>
      <c r="I18">
        <f t="shared" si="0"/>
        <v>274</v>
      </c>
      <c r="J18">
        <v>275</v>
      </c>
      <c r="K18" s="1" t="s">
        <v>15</v>
      </c>
      <c r="L18" s="4" t="s">
        <v>615</v>
      </c>
      <c r="M18" s="4" t="s">
        <v>616</v>
      </c>
      <c r="N18" s="5" t="s">
        <v>438</v>
      </c>
    </row>
    <row r="19" spans="1:14" ht="15.6" x14ac:dyDescent="0.3">
      <c r="A19" t="s">
        <v>282</v>
      </c>
      <c r="B19" t="s">
        <v>259</v>
      </c>
      <c r="C19" t="s">
        <v>17</v>
      </c>
      <c r="D19" t="s">
        <v>267</v>
      </c>
      <c r="E19">
        <v>56</v>
      </c>
      <c r="F19">
        <v>10</v>
      </c>
      <c r="G19">
        <v>1.6</v>
      </c>
      <c r="H19">
        <v>2.2999999999999998</v>
      </c>
      <c r="I19">
        <f t="shared" si="0"/>
        <v>278</v>
      </c>
      <c r="J19">
        <v>275</v>
      </c>
      <c r="K19" s="1" t="s">
        <v>15</v>
      </c>
      <c r="L19" s="4" t="s">
        <v>615</v>
      </c>
      <c r="M19" s="4" t="s">
        <v>617</v>
      </c>
      <c r="N19" s="5" t="s">
        <v>438</v>
      </c>
    </row>
    <row r="20" spans="1:14" ht="15.6" x14ac:dyDescent="0.3">
      <c r="A20" t="s">
        <v>283</v>
      </c>
      <c r="B20" t="s">
        <v>259</v>
      </c>
      <c r="C20" t="s">
        <v>284</v>
      </c>
      <c r="D20" t="s">
        <v>285</v>
      </c>
      <c r="E20">
        <v>45</v>
      </c>
      <c r="F20">
        <v>8</v>
      </c>
      <c r="G20">
        <v>21</v>
      </c>
      <c r="H20">
        <v>2.6</v>
      </c>
      <c r="I20">
        <f t="shared" si="0"/>
        <v>401</v>
      </c>
      <c r="J20">
        <v>406</v>
      </c>
      <c r="K20" s="1" t="s">
        <v>15</v>
      </c>
      <c r="L20" s="4" t="s">
        <v>609</v>
      </c>
      <c r="M20" s="4" t="s">
        <v>618</v>
      </c>
      <c r="N20" s="5" t="s">
        <v>438</v>
      </c>
    </row>
    <row r="21" spans="1:14" ht="15.6" x14ac:dyDescent="0.3">
      <c r="A21" t="s">
        <v>286</v>
      </c>
      <c r="B21" t="s">
        <v>259</v>
      </c>
      <c r="C21" t="s">
        <v>284</v>
      </c>
      <c r="D21" t="s">
        <v>260</v>
      </c>
      <c r="E21">
        <v>56</v>
      </c>
      <c r="F21">
        <v>8</v>
      </c>
      <c r="G21">
        <v>0.5</v>
      </c>
      <c r="H21">
        <v>2.2999999999999998</v>
      </c>
      <c r="I21">
        <f t="shared" si="0"/>
        <v>261</v>
      </c>
      <c r="J21">
        <v>270</v>
      </c>
      <c r="K21" s="1" t="s">
        <v>15</v>
      </c>
      <c r="L21" s="4" t="s">
        <v>605</v>
      </c>
      <c r="M21" s="4" t="s">
        <v>619</v>
      </c>
      <c r="N21" s="5" t="s">
        <v>438</v>
      </c>
    </row>
    <row r="22" spans="1:14" ht="15.6" x14ac:dyDescent="0.3">
      <c r="A22" t="s">
        <v>287</v>
      </c>
      <c r="B22" t="s">
        <v>259</v>
      </c>
      <c r="C22" t="s">
        <v>288</v>
      </c>
      <c r="D22" t="s">
        <v>277</v>
      </c>
      <c r="E22">
        <v>21.3</v>
      </c>
      <c r="F22">
        <v>4.4000000000000004</v>
      </c>
      <c r="G22">
        <v>1.9</v>
      </c>
      <c r="H22">
        <v>2.8</v>
      </c>
      <c r="I22">
        <f t="shared" si="0"/>
        <v>120</v>
      </c>
      <c r="J22">
        <v>120</v>
      </c>
      <c r="K22" s="1" t="s">
        <v>15</v>
      </c>
      <c r="L22" s="4" t="s">
        <v>620</v>
      </c>
      <c r="M22" s="4" t="s">
        <v>621</v>
      </c>
      <c r="N22" s="5" t="s">
        <v>397</v>
      </c>
    </row>
    <row r="23" spans="1:14" ht="15.6" x14ac:dyDescent="0.3">
      <c r="A23" t="s">
        <v>289</v>
      </c>
      <c r="B23" t="s">
        <v>259</v>
      </c>
      <c r="C23" t="s">
        <v>290</v>
      </c>
      <c r="D23" t="s">
        <v>260</v>
      </c>
      <c r="E23">
        <v>23.2</v>
      </c>
      <c r="F23">
        <v>3.8</v>
      </c>
      <c r="G23">
        <v>0.2</v>
      </c>
      <c r="H23">
        <v>1.4</v>
      </c>
      <c r="I23">
        <f t="shared" si="0"/>
        <v>110</v>
      </c>
      <c r="J23">
        <v>112</v>
      </c>
      <c r="K23" s="1" t="s">
        <v>15</v>
      </c>
      <c r="L23" s="4" t="s">
        <v>622</v>
      </c>
      <c r="M23" s="4" t="s">
        <v>616</v>
      </c>
      <c r="N23" s="5" t="s">
        <v>397</v>
      </c>
    </row>
    <row r="24" spans="1:14" ht="15.6" x14ac:dyDescent="0.3">
      <c r="A24" t="s">
        <v>291</v>
      </c>
      <c r="B24" t="s">
        <v>259</v>
      </c>
      <c r="C24" t="s">
        <v>13</v>
      </c>
      <c r="D24" t="s">
        <v>262</v>
      </c>
      <c r="E24">
        <v>12</v>
      </c>
      <c r="F24">
        <v>2.4</v>
      </c>
      <c r="G24">
        <v>1.4</v>
      </c>
      <c r="H24">
        <v>1.7</v>
      </c>
      <c r="I24">
        <f t="shared" si="0"/>
        <v>70</v>
      </c>
      <c r="J24">
        <v>71</v>
      </c>
      <c r="K24" s="1" t="s">
        <v>15</v>
      </c>
      <c r="L24" s="4" t="s">
        <v>623</v>
      </c>
      <c r="M24" s="4" t="s">
        <v>624</v>
      </c>
      <c r="N24" s="5" t="s">
        <v>397</v>
      </c>
    </row>
    <row r="25" spans="1:14" ht="15.6" x14ac:dyDescent="0.3">
      <c r="A25" t="s">
        <v>292</v>
      </c>
      <c r="B25" t="s">
        <v>259</v>
      </c>
      <c r="C25" t="s">
        <v>293</v>
      </c>
      <c r="D25" t="s">
        <v>262</v>
      </c>
      <c r="E25">
        <v>28.2</v>
      </c>
      <c r="F25">
        <v>2.2999999999999998</v>
      </c>
      <c r="G25">
        <v>0.4</v>
      </c>
      <c r="H25">
        <v>3.8</v>
      </c>
      <c r="I25">
        <f t="shared" si="0"/>
        <v>126</v>
      </c>
      <c r="J25">
        <v>123</v>
      </c>
      <c r="K25" s="1" t="s">
        <v>15</v>
      </c>
      <c r="L25" s="4" t="s">
        <v>625</v>
      </c>
      <c r="M25" s="4" t="s">
        <v>626</v>
      </c>
      <c r="N25" s="5" t="s">
        <v>397</v>
      </c>
    </row>
    <row r="26" spans="1:14" ht="15.6" x14ac:dyDescent="0.3">
      <c r="A26" t="s">
        <v>294</v>
      </c>
      <c r="B26" t="s">
        <v>259</v>
      </c>
      <c r="C26" t="s">
        <v>295</v>
      </c>
      <c r="D26" t="s">
        <v>260</v>
      </c>
      <c r="E26">
        <v>23.7</v>
      </c>
      <c r="F26">
        <v>3.5</v>
      </c>
      <c r="G26">
        <v>1.1000000000000001</v>
      </c>
      <c r="H26">
        <v>1.3</v>
      </c>
      <c r="I26">
        <f t="shared" si="0"/>
        <v>119</v>
      </c>
      <c r="J26">
        <v>119</v>
      </c>
      <c r="K26" s="1" t="s">
        <v>15</v>
      </c>
      <c r="L26" s="4" t="s">
        <v>627</v>
      </c>
      <c r="M26" s="4" t="s">
        <v>628</v>
      </c>
      <c r="N26" s="5" t="s">
        <v>397</v>
      </c>
    </row>
    <row r="27" spans="1:14" ht="15.6" x14ac:dyDescent="0.3">
      <c r="A27" t="s">
        <v>296</v>
      </c>
      <c r="B27" t="s">
        <v>259</v>
      </c>
      <c r="C27" t="s">
        <v>297</v>
      </c>
      <c r="D27" t="s">
        <v>277</v>
      </c>
      <c r="E27">
        <v>29.8</v>
      </c>
      <c r="F27">
        <v>5</v>
      </c>
      <c r="G27">
        <v>0.7</v>
      </c>
      <c r="H27">
        <v>2.7</v>
      </c>
      <c r="I27">
        <f t="shared" si="0"/>
        <v>146</v>
      </c>
      <c r="J27">
        <v>155</v>
      </c>
      <c r="K27" s="1" t="s">
        <v>15</v>
      </c>
      <c r="L27" s="4" t="s">
        <v>629</v>
      </c>
      <c r="M27" s="4" t="s">
        <v>630</v>
      </c>
      <c r="N27" s="5" t="s">
        <v>397</v>
      </c>
    </row>
    <row r="28" spans="1:14" ht="15.6" x14ac:dyDescent="0.3">
      <c r="A28" t="s">
        <v>298</v>
      </c>
      <c r="B28" t="s">
        <v>259</v>
      </c>
      <c r="C28" t="s">
        <v>65</v>
      </c>
      <c r="D28" t="s">
        <v>277</v>
      </c>
      <c r="E28">
        <v>27.5</v>
      </c>
      <c r="F28">
        <v>3</v>
      </c>
      <c r="G28">
        <v>0.2</v>
      </c>
      <c r="H28">
        <v>1</v>
      </c>
      <c r="I28">
        <f t="shared" si="0"/>
        <v>124</v>
      </c>
      <c r="J28">
        <v>130</v>
      </c>
      <c r="K28" s="1" t="s">
        <v>15</v>
      </c>
      <c r="L28" s="4" t="s">
        <v>631</v>
      </c>
      <c r="M28" s="4" t="s">
        <v>632</v>
      </c>
      <c r="N28" s="5" t="s">
        <v>397</v>
      </c>
    </row>
    <row r="29" spans="1:14" ht="15.6" x14ac:dyDescent="0.3">
      <c r="A29" t="s">
        <v>299</v>
      </c>
      <c r="B29" t="s">
        <v>259</v>
      </c>
      <c r="C29" t="s">
        <v>65</v>
      </c>
      <c r="D29" t="s">
        <v>277</v>
      </c>
      <c r="E29">
        <v>26</v>
      </c>
      <c r="F29">
        <v>5</v>
      </c>
      <c r="G29">
        <v>0.1</v>
      </c>
      <c r="H29">
        <v>2</v>
      </c>
      <c r="I29">
        <f t="shared" si="0"/>
        <v>125</v>
      </c>
      <c r="J29">
        <v>127</v>
      </c>
      <c r="K29" s="1" t="s">
        <v>15</v>
      </c>
      <c r="L29" s="4" t="s">
        <v>633</v>
      </c>
      <c r="M29" s="4" t="s">
        <v>634</v>
      </c>
      <c r="N29" s="5" t="s">
        <v>397</v>
      </c>
    </row>
    <row r="30" spans="1:14" ht="15.6" x14ac:dyDescent="0.3">
      <c r="A30" t="s">
        <v>300</v>
      </c>
      <c r="B30" t="s">
        <v>259</v>
      </c>
      <c r="C30" t="s">
        <v>301</v>
      </c>
      <c r="D30" t="s">
        <v>260</v>
      </c>
      <c r="E30">
        <v>24</v>
      </c>
      <c r="F30">
        <v>0.3</v>
      </c>
      <c r="G30">
        <v>0.2</v>
      </c>
      <c r="H30">
        <v>1</v>
      </c>
      <c r="I30">
        <f t="shared" si="0"/>
        <v>99</v>
      </c>
      <c r="J30">
        <v>108</v>
      </c>
      <c r="K30" s="1" t="s">
        <v>15</v>
      </c>
      <c r="L30" s="4" t="s">
        <v>635</v>
      </c>
      <c r="M30" s="4" t="s">
        <v>636</v>
      </c>
      <c r="N30" s="5" t="s">
        <v>397</v>
      </c>
    </row>
    <row r="31" spans="1:14" ht="15.6" x14ac:dyDescent="0.3">
      <c r="A31" t="s">
        <v>302</v>
      </c>
      <c r="B31" t="s">
        <v>259</v>
      </c>
      <c r="C31" t="s">
        <v>101</v>
      </c>
      <c r="D31" t="s">
        <v>260</v>
      </c>
      <c r="E31">
        <v>17</v>
      </c>
      <c r="F31">
        <v>1.9</v>
      </c>
      <c r="G31">
        <v>0.7</v>
      </c>
      <c r="H31">
        <v>1.6</v>
      </c>
      <c r="I31">
        <f t="shared" si="0"/>
        <v>82</v>
      </c>
      <c r="J31">
        <v>83</v>
      </c>
      <c r="K31" s="1" t="s">
        <v>15</v>
      </c>
      <c r="L31" s="4" t="s">
        <v>637</v>
      </c>
      <c r="M31" s="4" t="s">
        <v>638</v>
      </c>
      <c r="N31" s="5" t="s">
        <v>397</v>
      </c>
    </row>
    <row r="32" spans="1:14" ht="15.6" x14ac:dyDescent="0.3">
      <c r="A32" t="s">
        <v>303</v>
      </c>
      <c r="B32" t="s">
        <v>259</v>
      </c>
      <c r="C32" t="s">
        <v>304</v>
      </c>
      <c r="D32" t="s">
        <v>260</v>
      </c>
      <c r="E32">
        <v>14</v>
      </c>
      <c r="F32">
        <v>2</v>
      </c>
      <c r="G32">
        <v>0.7</v>
      </c>
      <c r="H32">
        <v>0.8</v>
      </c>
      <c r="I32">
        <f t="shared" si="0"/>
        <v>70</v>
      </c>
      <c r="J32">
        <v>76</v>
      </c>
      <c r="K32" s="1" t="s">
        <v>15</v>
      </c>
      <c r="L32" s="4" t="s">
        <v>639</v>
      </c>
      <c r="M32" s="4" t="s">
        <v>640</v>
      </c>
      <c r="N32" s="5" t="s">
        <v>397</v>
      </c>
    </row>
    <row r="33" spans="1:14" ht="15.6" x14ac:dyDescent="0.3">
      <c r="A33" t="s">
        <v>305</v>
      </c>
      <c r="B33" t="s">
        <v>259</v>
      </c>
      <c r="C33" t="s">
        <v>31</v>
      </c>
      <c r="D33" t="s">
        <v>285</v>
      </c>
      <c r="E33">
        <v>46</v>
      </c>
      <c r="F33">
        <v>8</v>
      </c>
      <c r="G33">
        <v>16</v>
      </c>
      <c r="H33">
        <v>3.8</v>
      </c>
      <c r="I33">
        <f t="shared" si="0"/>
        <v>360</v>
      </c>
      <c r="J33">
        <v>380</v>
      </c>
      <c r="K33" s="1" t="s">
        <v>15</v>
      </c>
      <c r="L33" s="4" t="s">
        <v>605</v>
      </c>
      <c r="M33" s="4" t="s">
        <v>641</v>
      </c>
      <c r="N33" s="5" t="s">
        <v>438</v>
      </c>
    </row>
    <row r="34" spans="1:14" ht="15.6" x14ac:dyDescent="0.3">
      <c r="A34" t="s">
        <v>306</v>
      </c>
      <c r="B34" t="s">
        <v>259</v>
      </c>
      <c r="C34" t="s">
        <v>31</v>
      </c>
      <c r="D34" t="s">
        <v>262</v>
      </c>
      <c r="E34">
        <v>47</v>
      </c>
      <c r="F34">
        <v>9.6</v>
      </c>
      <c r="G34">
        <v>3.2</v>
      </c>
      <c r="H34">
        <v>6</v>
      </c>
      <c r="I34">
        <f t="shared" si="0"/>
        <v>255</v>
      </c>
      <c r="J34">
        <v>297</v>
      </c>
      <c r="K34" s="1" t="s">
        <v>15</v>
      </c>
      <c r="L34" s="4" t="s">
        <v>642</v>
      </c>
      <c r="M34" s="4" t="s">
        <v>643</v>
      </c>
      <c r="N34" s="5" t="s">
        <v>438</v>
      </c>
    </row>
    <row r="35" spans="1:14" ht="15.6" x14ac:dyDescent="0.3">
      <c r="A35" t="s">
        <v>307</v>
      </c>
      <c r="B35" t="s">
        <v>259</v>
      </c>
      <c r="C35" t="s">
        <v>308</v>
      </c>
      <c r="D35" t="s">
        <v>262</v>
      </c>
      <c r="E35">
        <v>39</v>
      </c>
      <c r="F35">
        <v>4.8</v>
      </c>
      <c r="G35">
        <v>1</v>
      </c>
      <c r="H35">
        <v>3.7</v>
      </c>
      <c r="I35">
        <f t="shared" si="0"/>
        <v>184</v>
      </c>
      <c r="J35">
        <v>204</v>
      </c>
      <c r="K35" s="1" t="s">
        <v>15</v>
      </c>
      <c r="L35" s="4" t="s">
        <v>607</v>
      </c>
      <c r="M35" s="4" t="s">
        <v>644</v>
      </c>
      <c r="N35" s="5" t="s">
        <v>438</v>
      </c>
    </row>
    <row r="36" spans="1:14" ht="15.6" x14ac:dyDescent="0.3">
      <c r="A36" t="s">
        <v>309</v>
      </c>
      <c r="B36" t="s">
        <v>259</v>
      </c>
      <c r="C36" t="s">
        <v>310</v>
      </c>
      <c r="D36" t="s">
        <v>260</v>
      </c>
      <c r="E36">
        <v>78</v>
      </c>
      <c r="F36">
        <v>10</v>
      </c>
      <c r="G36">
        <v>1</v>
      </c>
      <c r="H36">
        <v>3.8</v>
      </c>
      <c r="I36">
        <f t="shared" si="0"/>
        <v>361</v>
      </c>
      <c r="J36">
        <v>370</v>
      </c>
      <c r="K36" s="1" t="s">
        <v>15</v>
      </c>
      <c r="L36" s="4" t="s">
        <v>645</v>
      </c>
      <c r="M36" s="4" t="s">
        <v>646</v>
      </c>
      <c r="N36" s="5" t="s">
        <v>438</v>
      </c>
    </row>
  </sheetData>
  <hyperlinks>
    <hyperlink ref="K2" r:id="rId1" location="/food-search?query=White+Rice" xr:uid="{00000000-0004-0000-0500-000000000000}"/>
    <hyperlink ref="K3" r:id="rId2" location="/food-search?query=Brown+Rice" xr:uid="{00000000-0004-0000-0500-000001000000}"/>
    <hyperlink ref="K4" r:id="rId3" location="/food-search?query=Basmati+Rice" xr:uid="{00000000-0004-0000-0500-000002000000}"/>
    <hyperlink ref="K5" r:id="rId4" location="/food-search?query=Jasmine+Rice" xr:uid="{00000000-0004-0000-0500-000003000000}"/>
    <hyperlink ref="K6" r:id="rId5" location="/food-search?query=Arborio+Rice+%28Risotto%29" xr:uid="{00000000-0004-0000-0500-000004000000}"/>
    <hyperlink ref="K7" r:id="rId6" location="/food-search?query=Spaghetti" xr:uid="{00000000-0004-0000-0500-000005000000}"/>
    <hyperlink ref="K8" r:id="rId7" location="/food-search?query=Penne" xr:uid="{00000000-0004-0000-0500-000006000000}"/>
    <hyperlink ref="K9" r:id="rId8" location="/food-search?query=Macaroni" xr:uid="{00000000-0004-0000-0500-000007000000}"/>
    <hyperlink ref="K10" r:id="rId9" location="/food-search?query=Lasagna+Noodles" xr:uid="{00000000-0004-0000-0500-000008000000}"/>
    <hyperlink ref="K11" r:id="rId10" location="/food-search?query=White+Bread" xr:uid="{00000000-0004-0000-0500-000009000000}"/>
    <hyperlink ref="K12" r:id="rId11" location="/food-search?query=Whole+Wheat+Bread" xr:uid="{00000000-0004-0000-0500-00000A000000}"/>
    <hyperlink ref="K13" r:id="rId12" location="/food-search?query=Sourdough+Bread" xr:uid="{00000000-0004-0000-0500-00000B000000}"/>
    <hyperlink ref="K14" r:id="rId13" location="/food-search?query=Rye+Bread" xr:uid="{00000000-0004-0000-0500-00000C000000}"/>
    <hyperlink ref="K15" r:id="rId14" location="/food-search?query=Naan" xr:uid="{00000000-0004-0000-0500-00000D000000}"/>
    <hyperlink ref="K16" r:id="rId15" location="/food-search?query=Corn+Tortilla" xr:uid="{00000000-0004-0000-0500-00000E000000}"/>
    <hyperlink ref="K17" r:id="rId16" location="/food-search?query=Flour+Tortilla" xr:uid="{00000000-0004-0000-0500-00000F000000}"/>
    <hyperlink ref="K18" r:id="rId17" location="/food-search?query=Pita+Bread" xr:uid="{00000000-0004-0000-0500-000010000000}"/>
    <hyperlink ref="K19" r:id="rId18" location="/food-search?query=Bagel" xr:uid="{00000000-0004-0000-0500-000011000000}"/>
    <hyperlink ref="K20" r:id="rId19" location="/food-search?query=Croissant" xr:uid="{00000000-0004-0000-0500-000012000000}"/>
    <hyperlink ref="K21" r:id="rId20" location="/food-search?query=Baguette" xr:uid="{00000000-0004-0000-0500-000013000000}"/>
    <hyperlink ref="K22" r:id="rId21" location="/food-search?query=Quinoa" xr:uid="{00000000-0004-0000-0500-000014000000}"/>
    <hyperlink ref="K23" r:id="rId22" location="/food-search?query=Couscous" xr:uid="{00000000-0004-0000-0500-000015000000}"/>
    <hyperlink ref="K24" r:id="rId23" location="/food-search?query=Oats%2FOatmeal" xr:uid="{00000000-0004-0000-0500-000016000000}"/>
    <hyperlink ref="K25" r:id="rId24" location="/food-search?query=Barley" xr:uid="{00000000-0004-0000-0500-000017000000}"/>
    <hyperlink ref="K26" r:id="rId25" location="/food-search?query=Millet" xr:uid="{00000000-0004-0000-0500-000018000000}"/>
    <hyperlink ref="K27" r:id="rId26" location="/food-search?query=Buckwheat+%28Kasha%2FSoba%29" xr:uid="{00000000-0004-0000-0500-000019000000}"/>
    <hyperlink ref="K28" r:id="rId27" location="/food-search?query=Udon+Noodles" xr:uid="{00000000-0004-0000-0500-00001A000000}"/>
    <hyperlink ref="K29" r:id="rId28" location="/food-search?query=Soba+Noodles" xr:uid="{00000000-0004-0000-0500-00001B000000}"/>
    <hyperlink ref="K30" r:id="rId29" location="/food-search?query=Rice+Noodles" xr:uid="{00000000-0004-0000-0500-00001C000000}"/>
    <hyperlink ref="K31" r:id="rId30" location="/food-search?query=Polenta+%28Cornmeal%29" xr:uid="{00000000-0004-0000-0500-00001D000000}"/>
    <hyperlink ref="K32" r:id="rId31" location="/food-search?query=Grits" xr:uid="{00000000-0004-0000-0500-00001E000000}"/>
    <hyperlink ref="K33" r:id="rId32" location="/food-search?query=Paratha" xr:uid="{00000000-0004-0000-0500-00001F000000}"/>
    <hyperlink ref="K34" r:id="rId33" location="/food-search?query=Chapati%2FRoti" xr:uid="{00000000-0004-0000-0500-000020000000}"/>
    <hyperlink ref="K35" r:id="rId34" location="/food-search?query=Injera+%28Teff+Flatbread%29" xr:uid="{00000000-0004-0000-0500-000021000000}"/>
    <hyperlink ref="K36" r:id="rId35" location="/food-search?query=Matzo" xr:uid="{00000000-0004-0000-0500-000022000000}"/>
    <hyperlink ref="N2" r:id="rId36" xr:uid="{24A8867F-FDE2-450A-ADBB-D884983EAFE8}"/>
    <hyperlink ref="N3" r:id="rId37" xr:uid="{9E785D59-004A-4C94-B149-EC4913A602B4}"/>
    <hyperlink ref="N4" r:id="rId38" xr:uid="{ED7FA23E-665F-4E5E-8BAD-C649118F6F9B}"/>
    <hyperlink ref="N5" r:id="rId39" xr:uid="{630C10D5-E92B-4B8E-BCA5-914F930D4D7A}"/>
    <hyperlink ref="N6" r:id="rId40" xr:uid="{D767504E-208F-4E66-8DBB-E515E8CDDC96}"/>
    <hyperlink ref="N7" r:id="rId41" xr:uid="{CAF4A539-D5E7-45F3-BFEC-32D4CD57B59B}"/>
    <hyperlink ref="N8" r:id="rId42" xr:uid="{ADA3E78B-B0B5-40D1-AB30-0DDD912A1E66}"/>
    <hyperlink ref="N9" r:id="rId43" xr:uid="{83532A1E-01DF-4A7C-9304-4269A9F9EBA6}"/>
    <hyperlink ref="N10" r:id="rId44" xr:uid="{4C404BE9-183F-4FE0-ADD5-133900FBA840}"/>
    <hyperlink ref="N11" r:id="rId45" xr:uid="{BE6BFD0D-0220-4332-AC80-0605D3118380}"/>
    <hyperlink ref="N12" r:id="rId46" xr:uid="{290C4E88-C3DC-4C3C-92A2-F3B53F9E38D3}"/>
    <hyperlink ref="N13" r:id="rId47" xr:uid="{4D2B6085-0F67-4D81-88E5-9B0315534071}"/>
    <hyperlink ref="N14" r:id="rId48" xr:uid="{2091E7D3-C4DA-4B97-B93A-359EB58197C4}"/>
    <hyperlink ref="N15" r:id="rId49" xr:uid="{F2613705-CB64-4B28-B404-F5E255BD68F5}"/>
    <hyperlink ref="N16" r:id="rId50" xr:uid="{2DE0161F-63A1-49EE-A76B-C29E589D5710}"/>
    <hyperlink ref="N17" r:id="rId51" xr:uid="{2E2D644A-C5A0-4E92-8041-56C73DC8718F}"/>
    <hyperlink ref="N18" r:id="rId52" xr:uid="{2C2FD131-CC0E-41A8-A72C-E76097DA4CAF}"/>
    <hyperlink ref="N19" r:id="rId53" xr:uid="{4F17CD58-E742-4B5F-A76B-2ACBCC9D1795}"/>
    <hyperlink ref="N20" r:id="rId54" xr:uid="{6D2259A7-43D0-4668-B281-2734CA751C8A}"/>
    <hyperlink ref="N21" r:id="rId55" xr:uid="{30C7E39D-B7F9-4A81-B2A0-9E63EE69163D}"/>
    <hyperlink ref="N22" r:id="rId56" xr:uid="{949626F3-751A-4D14-BD95-9B90544D64B5}"/>
    <hyperlink ref="N23" r:id="rId57" xr:uid="{B0E5E12E-23A3-43CF-8377-C753368C0005}"/>
    <hyperlink ref="N24" r:id="rId58" xr:uid="{662BEA7B-48D9-43F9-A67B-F0C557A8A419}"/>
    <hyperlink ref="N25" r:id="rId59" xr:uid="{7975F26D-E1BB-4A2D-8580-77EFAB0DCF29}"/>
    <hyperlink ref="N26" r:id="rId60" xr:uid="{8DAC4395-D2FF-4606-8928-39A4185F0BF2}"/>
    <hyperlink ref="N27" r:id="rId61" xr:uid="{F8DB278D-73B8-4960-BF76-F0C6FC04FB49}"/>
    <hyperlink ref="N28" r:id="rId62" xr:uid="{CD56B83F-1DDD-4BA3-8605-EBE10E42AC44}"/>
    <hyperlink ref="N29" r:id="rId63" xr:uid="{483CF18E-942D-4E5C-A6BF-DEA2EF4C3323}"/>
    <hyperlink ref="N30" r:id="rId64" xr:uid="{D95E963F-3A70-4541-9ABF-D87BFFB8C8E9}"/>
    <hyperlink ref="N31" r:id="rId65" xr:uid="{2B2FB35A-5580-4FA4-94AF-53B7BD982597}"/>
    <hyperlink ref="N32" r:id="rId66" xr:uid="{CFEF06F5-8E94-418E-AAC9-07F4060D7C75}"/>
    <hyperlink ref="N33" r:id="rId67" xr:uid="{EF752851-763B-4512-897B-EEC097D29DE3}"/>
    <hyperlink ref="N34" r:id="rId68" xr:uid="{87476513-B3B1-4E14-B161-6CE6B99A5555}"/>
    <hyperlink ref="N35" r:id="rId69" xr:uid="{2B346367-6162-497C-974B-226AFB0FBAEF}"/>
    <hyperlink ref="N36" r:id="rId70" xr:uid="{35D261C2-CE83-4E79-AE65-E508A1C94CA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topLeftCell="A2" workbookViewId="0">
      <selection activeCell="A46" sqref="A46"/>
    </sheetView>
  </sheetViews>
  <sheetFormatPr defaultRowHeight="14.4" x14ac:dyDescent="0.3"/>
  <cols>
    <col min="1" max="1" width="81.6640625" bestFit="1" customWidth="1"/>
    <col min="2" max="2" width="58.88671875" customWidth="1"/>
  </cols>
  <sheetData>
    <row r="1" spans="1:2" x14ac:dyDescent="0.3">
      <c r="A1" t="s">
        <v>195</v>
      </c>
      <c r="B1" t="s">
        <v>196</v>
      </c>
    </row>
    <row r="2" spans="1:2" x14ac:dyDescent="0.3">
      <c r="A2" t="s">
        <v>197</v>
      </c>
    </row>
    <row r="3" spans="1:2" x14ac:dyDescent="0.3">
      <c r="A3" t="s">
        <v>198</v>
      </c>
    </row>
    <row r="4" spans="1:2" x14ac:dyDescent="0.3">
      <c r="A4" t="s">
        <v>199</v>
      </c>
      <c r="B4" t="s">
        <v>200</v>
      </c>
    </row>
    <row r="5" spans="1:2" x14ac:dyDescent="0.3">
      <c r="A5" t="s">
        <v>201</v>
      </c>
      <c r="B5" t="s">
        <v>202</v>
      </c>
    </row>
    <row r="7" spans="1:2" x14ac:dyDescent="0.3">
      <c r="A7" t="s">
        <v>315</v>
      </c>
      <c r="B7" t="s">
        <v>311</v>
      </c>
    </row>
    <row r="8" spans="1:2" x14ac:dyDescent="0.3">
      <c r="A8" t="s">
        <v>316</v>
      </c>
      <c r="B8" t="s">
        <v>312</v>
      </c>
    </row>
    <row r="9" spans="1:2" x14ac:dyDescent="0.3">
      <c r="A9" t="s">
        <v>317</v>
      </c>
      <c r="B9" t="s">
        <v>313</v>
      </c>
    </row>
    <row r="10" spans="1:2" x14ac:dyDescent="0.3">
      <c r="A10" t="s">
        <v>318</v>
      </c>
      <c r="B10" t="s">
        <v>314</v>
      </c>
    </row>
    <row r="13" spans="1:2" x14ac:dyDescent="0.3">
      <c r="A13" t="s">
        <v>319</v>
      </c>
    </row>
    <row r="14" spans="1:2" x14ac:dyDescent="0.3">
      <c r="A14" t="s">
        <v>320</v>
      </c>
    </row>
    <row r="15" spans="1:2" x14ac:dyDescent="0.3">
      <c r="A15" t="s">
        <v>321</v>
      </c>
    </row>
    <row r="19" spans="1:3" x14ac:dyDescent="0.3">
      <c r="A19" s="6" t="s">
        <v>647</v>
      </c>
      <c r="B19" s="6" t="s">
        <v>648</v>
      </c>
      <c r="C19" s="6" t="s">
        <v>649</v>
      </c>
    </row>
    <row r="20" spans="1:3" x14ac:dyDescent="0.3">
      <c r="A20" s="3" t="s">
        <v>650</v>
      </c>
      <c r="B20" s="3" t="s">
        <v>651</v>
      </c>
      <c r="C20" s="3" t="s">
        <v>652</v>
      </c>
    </row>
    <row r="21" spans="1:3" x14ac:dyDescent="0.3">
      <c r="A21" s="3" t="s">
        <v>653</v>
      </c>
      <c r="B21" s="3" t="s">
        <v>654</v>
      </c>
      <c r="C21" s="3" t="s">
        <v>655</v>
      </c>
    </row>
    <row r="22" spans="1:3" x14ac:dyDescent="0.3">
      <c r="A22" s="3" t="s">
        <v>656</v>
      </c>
      <c r="B22" s="3" t="s">
        <v>657</v>
      </c>
      <c r="C22" s="3" t="s">
        <v>658</v>
      </c>
    </row>
    <row r="23" spans="1:3" x14ac:dyDescent="0.3">
      <c r="A23" s="3" t="s">
        <v>659</v>
      </c>
      <c r="B23" s="3" t="s">
        <v>660</v>
      </c>
      <c r="C23" s="3" t="s">
        <v>661</v>
      </c>
    </row>
    <row r="24" spans="1:3" x14ac:dyDescent="0.3">
      <c r="A24" s="3" t="s">
        <v>662</v>
      </c>
      <c r="B24" s="3" t="s">
        <v>663</v>
      </c>
      <c r="C24" s="3" t="s">
        <v>664</v>
      </c>
    </row>
    <row r="28" spans="1:3" ht="18" x14ac:dyDescent="0.3">
      <c r="A28" s="7" t="s">
        <v>665</v>
      </c>
    </row>
    <row r="29" spans="1:3" x14ac:dyDescent="0.3">
      <c r="A29" s="8"/>
    </row>
    <row r="30" spans="1:3" x14ac:dyDescent="0.3">
      <c r="A30" s="8" t="s">
        <v>666</v>
      </c>
    </row>
    <row r="31" spans="1:3" x14ac:dyDescent="0.3">
      <c r="A31" s="9" t="s">
        <v>667</v>
      </c>
    </row>
    <row r="32" spans="1:3" x14ac:dyDescent="0.3">
      <c r="A32" s="8"/>
    </row>
    <row r="33" spans="1:1" x14ac:dyDescent="0.3">
      <c r="A33" s="10" t="s">
        <v>668</v>
      </c>
    </row>
    <row r="34" spans="1:1" x14ac:dyDescent="0.3">
      <c r="A34" s="8"/>
    </row>
    <row r="35" spans="1:1" x14ac:dyDescent="0.3">
      <c r="A35" s="10" t="s">
        <v>669</v>
      </c>
    </row>
    <row r="36" spans="1:1" x14ac:dyDescent="0.3">
      <c r="A36" s="8"/>
    </row>
    <row r="37" spans="1:1" x14ac:dyDescent="0.3">
      <c r="A37" s="10" t="s">
        <v>670</v>
      </c>
    </row>
    <row r="38" spans="1:1" x14ac:dyDescent="0.3">
      <c r="A38" s="8"/>
    </row>
    <row r="39" spans="1:1" x14ac:dyDescent="0.3">
      <c r="A39" s="10" t="s">
        <v>671</v>
      </c>
    </row>
    <row r="40" spans="1:1" x14ac:dyDescent="0.3">
      <c r="A40" s="8"/>
    </row>
    <row r="41" spans="1:1" x14ac:dyDescent="0.3">
      <c r="A41" s="10" t="s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Fruits (35)</vt:lpstr>
      <vt:lpstr>Vegetables (35)</vt:lpstr>
      <vt:lpstr>Beans &amp; Lentils (35)</vt:lpstr>
      <vt:lpstr>Meats (35)</vt:lpstr>
      <vt:lpstr>Carbs-Grains (35)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Monita Punj</cp:lastModifiedBy>
  <dcterms:created xsi:type="dcterms:W3CDTF">2025-09-15T16:20:34Z</dcterms:created>
  <dcterms:modified xsi:type="dcterms:W3CDTF">2025-09-16T21:36:41Z</dcterms:modified>
</cp:coreProperties>
</file>